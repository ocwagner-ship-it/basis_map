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957930577e6e4bc8/Desktop/Presentations/ACMR cotton/oct 26/"/>
    </mc:Choice>
  </mc:AlternateContent>
  <xr:revisionPtr revIDLastSave="57" documentId="11_F25DC773A252ABDACC1048CB791B64525ADE58E8" xr6:coauthVersionLast="47" xr6:coauthVersionMax="47" xr10:uidLastSave="{9AD0B475-EC1B-42AE-95A2-11AF22B0D7F8}"/>
  <bookViews>
    <workbookView xWindow="-98" yWindow="-98" windowWidth="21795" windowHeight="13875" firstSheet="2" activeTab="3" xr2:uid="{00000000-000D-0000-FFFF-FFFF00000000}"/>
  </bookViews>
  <sheets>
    <sheet name="data" sheetId="1" r:id="rId1"/>
    <sheet name="diagram" sheetId="2" r:id="rId2"/>
    <sheet name="Sheet1" sheetId="3" r:id="rId3"/>
    <sheet name="Ratios" sheetId="4"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8" i="4" l="1"/>
  <c r="K31" i="4"/>
  <c r="P31" i="4" s="1"/>
  <c r="J31" i="4"/>
  <c r="O31" i="4" s="1"/>
  <c r="I31" i="4"/>
  <c r="D31" i="4"/>
  <c r="P30" i="4"/>
  <c r="O30" i="4"/>
  <c r="N30" i="4"/>
  <c r="W31" i="4" s="1"/>
  <c r="K30" i="4"/>
  <c r="J30" i="4"/>
  <c r="I30" i="4"/>
  <c r="T31" i="4" s="1"/>
  <c r="F30" i="4"/>
  <c r="E30" i="4"/>
  <c r="D30" i="4"/>
  <c r="P29" i="4"/>
  <c r="O29" i="4"/>
  <c r="N29" i="4"/>
  <c r="W30" i="4" s="1"/>
  <c r="K29" i="4"/>
  <c r="J29" i="4"/>
  <c r="I29" i="4"/>
  <c r="T30" i="4" s="1"/>
  <c r="F29" i="4"/>
  <c r="E29" i="4"/>
  <c r="D29" i="4"/>
  <c r="P28" i="4"/>
  <c r="O28" i="4"/>
  <c r="N28" i="4"/>
  <c r="W29" i="4" s="1"/>
  <c r="K28" i="4"/>
  <c r="J28" i="4"/>
  <c r="I28" i="4"/>
  <c r="T29" i="4" s="1"/>
  <c r="F28" i="4"/>
  <c r="E28" i="4"/>
  <c r="D28" i="4"/>
  <c r="P27" i="4"/>
  <c r="O27" i="4"/>
  <c r="N27" i="4"/>
  <c r="W28" i="4" s="1"/>
  <c r="K27" i="4"/>
  <c r="J27" i="4"/>
  <c r="I27" i="4"/>
  <c r="T28" i="4" s="1"/>
  <c r="F27" i="4"/>
  <c r="E27" i="4"/>
  <c r="D27" i="4"/>
  <c r="P26" i="4"/>
  <c r="O26" i="4"/>
  <c r="N26" i="4"/>
  <c r="W27" i="4" s="1"/>
  <c r="K26" i="4"/>
  <c r="J26" i="4"/>
  <c r="I26" i="4"/>
  <c r="T27" i="4" s="1"/>
  <c r="F26" i="4"/>
  <c r="E26" i="4"/>
  <c r="D26" i="4"/>
  <c r="P25" i="4"/>
  <c r="O25" i="4"/>
  <c r="N25" i="4"/>
  <c r="W26" i="4" s="1"/>
  <c r="K25" i="4"/>
  <c r="J25" i="4"/>
  <c r="I25" i="4"/>
  <c r="T26" i="4" s="1"/>
  <c r="F25" i="4"/>
  <c r="E25" i="4"/>
  <c r="D25" i="4"/>
  <c r="P24" i="4"/>
  <c r="O24" i="4"/>
  <c r="N24" i="4"/>
  <c r="W25" i="4" s="1"/>
  <c r="K24" i="4"/>
  <c r="J24" i="4"/>
  <c r="I24" i="4"/>
  <c r="T25" i="4" s="1"/>
  <c r="F24" i="4"/>
  <c r="E24" i="4"/>
  <c r="D24" i="4"/>
  <c r="P23" i="4"/>
  <c r="O23" i="4"/>
  <c r="N23" i="4"/>
  <c r="W24" i="4" s="1"/>
  <c r="K23" i="4"/>
  <c r="J23" i="4"/>
  <c r="I23" i="4"/>
  <c r="T24" i="4" s="1"/>
  <c r="F23" i="4"/>
  <c r="E23" i="4"/>
  <c r="D23" i="4"/>
  <c r="P22" i="4"/>
  <c r="O22" i="4"/>
  <c r="N22" i="4"/>
  <c r="W23" i="4" s="1"/>
  <c r="K22" i="4"/>
  <c r="J22" i="4"/>
  <c r="I22" i="4"/>
  <c r="T23" i="4" s="1"/>
  <c r="F22" i="4"/>
  <c r="E22" i="4"/>
  <c r="D22" i="4"/>
  <c r="P21" i="4"/>
  <c r="O21" i="4"/>
  <c r="N21" i="4"/>
  <c r="W22" i="4" s="1"/>
  <c r="K21" i="4"/>
  <c r="J21" i="4"/>
  <c r="I21" i="4"/>
  <c r="T22" i="4" s="1"/>
  <c r="F21" i="4"/>
  <c r="E21" i="4"/>
  <c r="D21" i="4"/>
  <c r="P20" i="4"/>
  <c r="O20" i="4"/>
  <c r="N20" i="4"/>
  <c r="W21" i="4" s="1"/>
  <c r="K20" i="4"/>
  <c r="J20" i="4"/>
  <c r="I20" i="4"/>
  <c r="T21" i="4" s="1"/>
  <c r="F20" i="4"/>
  <c r="E20" i="4"/>
  <c r="D20" i="4"/>
  <c r="P19" i="4"/>
  <c r="O19" i="4"/>
  <c r="N19" i="4"/>
  <c r="W20" i="4" s="1"/>
  <c r="K19" i="4"/>
  <c r="J19" i="4"/>
  <c r="I19" i="4"/>
  <c r="T20" i="4" s="1"/>
  <c r="F19" i="4"/>
  <c r="E19" i="4"/>
  <c r="D19" i="4"/>
  <c r="P18" i="4"/>
  <c r="O18" i="4"/>
  <c r="N18" i="4"/>
  <c r="W19" i="4" s="1"/>
  <c r="K18" i="4"/>
  <c r="J18" i="4"/>
  <c r="I18" i="4"/>
  <c r="T19" i="4" s="1"/>
  <c r="F18" i="4"/>
  <c r="E18" i="4"/>
  <c r="D18" i="4"/>
  <c r="P17" i="4"/>
  <c r="O17" i="4"/>
  <c r="N17" i="4"/>
  <c r="W18" i="4" s="1"/>
  <c r="K17" i="4"/>
  <c r="J17" i="4"/>
  <c r="I17" i="4"/>
  <c r="T18" i="4" s="1"/>
  <c r="F17" i="4"/>
  <c r="E17" i="4"/>
  <c r="D17" i="4"/>
  <c r="P16" i="4"/>
  <c r="O16" i="4"/>
  <c r="N16" i="4"/>
  <c r="W17" i="4" s="1"/>
  <c r="K16" i="4"/>
  <c r="J16" i="4"/>
  <c r="I16" i="4"/>
  <c r="T17" i="4" s="1"/>
  <c r="F16" i="4"/>
  <c r="E16" i="4"/>
  <c r="D16" i="4"/>
  <c r="P15" i="4"/>
  <c r="O15" i="4"/>
  <c r="N15" i="4"/>
  <c r="W16" i="4" s="1"/>
  <c r="K15" i="4"/>
  <c r="J15" i="4"/>
  <c r="I15" i="4"/>
  <c r="T16" i="4" s="1"/>
  <c r="F15" i="4"/>
  <c r="E15" i="4"/>
  <c r="D15" i="4"/>
  <c r="P14" i="4"/>
  <c r="O14" i="4"/>
  <c r="N14" i="4"/>
  <c r="W15" i="4" s="1"/>
  <c r="K14" i="4"/>
  <c r="J14" i="4"/>
  <c r="I14" i="4"/>
  <c r="T15" i="4" s="1"/>
  <c r="F14" i="4"/>
  <c r="E14" i="4"/>
  <c r="D14" i="4"/>
  <c r="P13" i="4"/>
  <c r="O13" i="4"/>
  <c r="N13" i="4"/>
  <c r="K13" i="4"/>
  <c r="J13" i="4"/>
  <c r="I13" i="4"/>
  <c r="T14" i="4" s="1"/>
  <c r="F13" i="4"/>
  <c r="E13" i="4"/>
  <c r="D13" i="4"/>
  <c r="P12" i="4"/>
  <c r="O12" i="4"/>
  <c r="N12" i="4"/>
  <c r="K12" i="4"/>
  <c r="J12" i="4"/>
  <c r="I12" i="4"/>
  <c r="T13" i="4" s="1"/>
  <c r="F12" i="4"/>
  <c r="E12" i="4"/>
  <c r="D12" i="4"/>
  <c r="P11" i="4"/>
  <c r="O11" i="4"/>
  <c r="N11" i="4"/>
  <c r="K11" i="4"/>
  <c r="J11" i="4"/>
  <c r="I11" i="4"/>
  <c r="T12" i="4" s="1"/>
  <c r="F11" i="4"/>
  <c r="E11" i="4"/>
  <c r="D11" i="4"/>
  <c r="P10" i="4"/>
  <c r="O10" i="4"/>
  <c r="N10" i="4"/>
  <c r="K10" i="4"/>
  <c r="J10" i="4"/>
  <c r="I10" i="4"/>
  <c r="T11" i="4" s="1"/>
  <c r="F10" i="4"/>
  <c r="E10" i="4"/>
  <c r="D10" i="4"/>
  <c r="P9" i="4"/>
  <c r="O9" i="4"/>
  <c r="N9" i="4"/>
  <c r="K9" i="4"/>
  <c r="J9" i="4"/>
  <c r="I9" i="4"/>
  <c r="T10" i="4" s="1"/>
  <c r="F9" i="4"/>
  <c r="E9" i="4"/>
  <c r="D9" i="4"/>
  <c r="P8" i="4"/>
  <c r="O8" i="4"/>
  <c r="N8" i="4"/>
  <c r="K8" i="4"/>
  <c r="J8" i="4"/>
  <c r="I8" i="4"/>
  <c r="T9" i="4" s="1"/>
  <c r="F8" i="4"/>
  <c r="E8" i="4"/>
  <c r="D8" i="4"/>
  <c r="P7" i="4"/>
  <c r="O7" i="4"/>
  <c r="N7" i="4"/>
  <c r="K7" i="4"/>
  <c r="J7" i="4"/>
  <c r="I7" i="4"/>
  <c r="T8" i="4" s="1"/>
  <c r="F7" i="4"/>
  <c r="E7" i="4"/>
  <c r="D7" i="4"/>
  <c r="P6" i="4"/>
  <c r="O6" i="4"/>
  <c r="N6" i="4"/>
  <c r="K6" i="4"/>
  <c r="J6" i="4"/>
  <c r="I6" i="4"/>
  <c r="T7" i="4" s="1"/>
  <c r="F6" i="4"/>
  <c r="E6" i="4"/>
  <c r="D6" i="4"/>
  <c r="P5" i="4"/>
  <c r="O5" i="4"/>
  <c r="N5" i="4"/>
  <c r="K5" i="4"/>
  <c r="J5" i="4"/>
  <c r="I5" i="4"/>
  <c r="T6" i="4" s="1"/>
  <c r="F5" i="4"/>
  <c r="E5" i="4"/>
  <c r="D5" i="4"/>
  <c r="E14" i="2"/>
  <c r="E15" i="2" s="1"/>
  <c r="D15" i="2"/>
  <c r="D14" i="2"/>
  <c r="E16" i="2"/>
  <c r="D16" i="2"/>
  <c r="E5" i="2"/>
  <c r="F5" i="2"/>
  <c r="G5" i="2"/>
  <c r="H5" i="2"/>
  <c r="I5" i="2"/>
  <c r="J5" i="2"/>
  <c r="K5" i="2"/>
  <c r="L5" i="2"/>
  <c r="M5" i="2"/>
  <c r="N5" i="2"/>
  <c r="O5" i="2"/>
  <c r="P5" i="2"/>
  <c r="Q5" i="2"/>
  <c r="R5" i="2"/>
  <c r="S5" i="2"/>
  <c r="T5" i="2"/>
  <c r="U5" i="2"/>
  <c r="V5" i="2"/>
  <c r="W5" i="2"/>
  <c r="X5" i="2"/>
  <c r="Y5" i="2"/>
  <c r="Z5" i="2"/>
  <c r="AA5" i="2"/>
  <c r="AB5" i="2"/>
  <c r="AC5" i="2"/>
  <c r="AD5" i="2"/>
  <c r="AE5" i="2"/>
  <c r="AF5" i="2"/>
  <c r="E6" i="2"/>
  <c r="F6" i="2"/>
  <c r="G6" i="2"/>
  <c r="H6" i="2"/>
  <c r="I6" i="2"/>
  <c r="J6" i="2"/>
  <c r="K6" i="2"/>
  <c r="L6" i="2"/>
  <c r="M6" i="2"/>
  <c r="N6" i="2"/>
  <c r="O6" i="2"/>
  <c r="P6" i="2"/>
  <c r="Q6" i="2"/>
  <c r="R6" i="2"/>
  <c r="S6" i="2"/>
  <c r="T6" i="2"/>
  <c r="U6" i="2"/>
  <c r="V6" i="2"/>
  <c r="W6" i="2"/>
  <c r="X6" i="2"/>
  <c r="Y6" i="2"/>
  <c r="Z6" i="2"/>
  <c r="AA6" i="2"/>
  <c r="AB6" i="2"/>
  <c r="AC6" i="2"/>
  <c r="AD6" i="2"/>
  <c r="AE6" i="2"/>
  <c r="AF6" i="2"/>
  <c r="E7" i="2"/>
  <c r="F7" i="2"/>
  <c r="G7" i="2"/>
  <c r="H7" i="2"/>
  <c r="I7" i="2"/>
  <c r="J7" i="2"/>
  <c r="K7" i="2"/>
  <c r="L7" i="2"/>
  <c r="M7" i="2"/>
  <c r="N7" i="2"/>
  <c r="O7" i="2"/>
  <c r="P7" i="2"/>
  <c r="Q7" i="2"/>
  <c r="R7" i="2"/>
  <c r="S7" i="2"/>
  <c r="T7" i="2"/>
  <c r="U7" i="2"/>
  <c r="V7" i="2"/>
  <c r="W7" i="2"/>
  <c r="X7" i="2"/>
  <c r="Y7" i="2"/>
  <c r="Z7" i="2"/>
  <c r="AA7" i="2"/>
  <c r="AB7" i="2"/>
  <c r="AC7" i="2"/>
  <c r="AD7" i="2"/>
  <c r="AE7" i="2"/>
  <c r="AF7" i="2"/>
  <c r="E8" i="2"/>
  <c r="F8" i="2"/>
  <c r="G8" i="2"/>
  <c r="H8" i="2"/>
  <c r="I8" i="2"/>
  <c r="J8" i="2"/>
  <c r="K8" i="2"/>
  <c r="L8" i="2"/>
  <c r="M8" i="2"/>
  <c r="N8" i="2"/>
  <c r="O8" i="2"/>
  <c r="P8" i="2"/>
  <c r="Q8" i="2"/>
  <c r="R8" i="2"/>
  <c r="S8" i="2"/>
  <c r="T8" i="2"/>
  <c r="U8" i="2"/>
  <c r="V8" i="2"/>
  <c r="W8" i="2"/>
  <c r="X8" i="2"/>
  <c r="Y8" i="2"/>
  <c r="Z8" i="2"/>
  <c r="AA8" i="2"/>
  <c r="AB8" i="2"/>
  <c r="AC8" i="2"/>
  <c r="AD8" i="2"/>
  <c r="AE8" i="2"/>
  <c r="AF8" i="2"/>
  <c r="E9" i="2"/>
  <c r="F9" i="2"/>
  <c r="G9" i="2"/>
  <c r="H9" i="2"/>
  <c r="I9" i="2"/>
  <c r="J9" i="2"/>
  <c r="K9" i="2"/>
  <c r="L9" i="2"/>
  <c r="M9" i="2"/>
  <c r="N9" i="2"/>
  <c r="O9" i="2"/>
  <c r="P9" i="2"/>
  <c r="Q9" i="2"/>
  <c r="R9" i="2"/>
  <c r="S9" i="2"/>
  <c r="T9" i="2"/>
  <c r="U9" i="2"/>
  <c r="V9" i="2"/>
  <c r="W9" i="2"/>
  <c r="X9" i="2"/>
  <c r="Y9" i="2"/>
  <c r="Z9" i="2"/>
  <c r="AA9" i="2"/>
  <c r="AB9" i="2"/>
  <c r="AC9" i="2"/>
  <c r="AD9" i="2"/>
  <c r="AE9" i="2"/>
  <c r="AF9" i="2"/>
  <c r="E10" i="2"/>
  <c r="F10" i="2"/>
  <c r="F16" i="2" s="1"/>
  <c r="G10" i="2"/>
  <c r="G16" i="2" s="1"/>
  <c r="H10" i="2"/>
  <c r="H16" i="2" s="1"/>
  <c r="I10" i="2"/>
  <c r="I16" i="2" s="1"/>
  <c r="J10" i="2"/>
  <c r="J16" i="2" s="1"/>
  <c r="K10" i="2"/>
  <c r="K16" i="2" s="1"/>
  <c r="L10" i="2"/>
  <c r="L16" i="2" s="1"/>
  <c r="M10" i="2"/>
  <c r="M16" i="2" s="1"/>
  <c r="N10" i="2"/>
  <c r="N16" i="2" s="1"/>
  <c r="O10" i="2"/>
  <c r="O16" i="2" s="1"/>
  <c r="P10" i="2"/>
  <c r="P16" i="2" s="1"/>
  <c r="Q10" i="2"/>
  <c r="Q16" i="2" s="1"/>
  <c r="R10" i="2"/>
  <c r="R16" i="2" s="1"/>
  <c r="S10" i="2"/>
  <c r="S16" i="2" s="1"/>
  <c r="T10" i="2"/>
  <c r="U10" i="2"/>
  <c r="V10" i="2"/>
  <c r="W10" i="2"/>
  <c r="X10" i="2"/>
  <c r="Y10" i="2"/>
  <c r="Z10" i="2"/>
  <c r="AA10" i="2"/>
  <c r="AB10" i="2"/>
  <c r="AC10" i="2"/>
  <c r="AD10" i="2"/>
  <c r="AE10" i="2"/>
  <c r="AF10" i="2"/>
  <c r="D6" i="2"/>
  <c r="D7" i="2"/>
  <c r="D8" i="2"/>
  <c r="D9" i="2"/>
  <c r="D10" i="2"/>
  <c r="D5" i="2"/>
  <c r="T32" i="4" l="1"/>
  <c r="N31" i="4"/>
  <c r="W32" i="4" s="1"/>
  <c r="V36" i="4"/>
  <c r="S36" i="4"/>
  <c r="V31" i="4"/>
  <c r="S31" i="4"/>
  <c r="V30" i="4"/>
  <c r="S30" i="4"/>
  <c r="V29" i="4"/>
  <c r="S29" i="4"/>
  <c r="V28" i="4"/>
  <c r="S28" i="4"/>
  <c r="S27" i="4"/>
  <c r="V27" i="4"/>
  <c r="V26" i="4"/>
  <c r="S26" i="4"/>
  <c r="V25" i="4"/>
  <c r="S25" i="4"/>
  <c r="V24" i="4"/>
  <c r="S24" i="4"/>
  <c r="V23" i="4"/>
  <c r="S23" i="4"/>
  <c r="V22" i="4"/>
  <c r="S22" i="4"/>
  <c r="V21" i="4"/>
  <c r="S21" i="4"/>
  <c r="S20" i="4"/>
  <c r="V20" i="4"/>
  <c r="V19" i="4"/>
  <c r="S19" i="4"/>
  <c r="V18" i="4"/>
  <c r="S18" i="4"/>
  <c r="V17" i="4"/>
  <c r="S17" i="4"/>
  <c r="V16" i="4"/>
  <c r="S16" i="4"/>
  <c r="V15" i="4"/>
  <c r="V32" i="4" s="1" a="1"/>
  <c r="S15" i="4"/>
  <c r="S32" i="4" s="1" a="1"/>
  <c r="V14" i="4"/>
  <c r="S14" i="4"/>
  <c r="V13" i="4"/>
  <c r="S13" i="4"/>
  <c r="V12" i="4"/>
  <c r="S12" i="4"/>
  <c r="V11" i="4"/>
  <c r="S11" i="4"/>
  <c r="V10" i="4"/>
  <c r="S10" i="4"/>
  <c r="V9" i="4"/>
  <c r="S9" i="4"/>
  <c r="V8" i="4"/>
  <c r="S8" i="4"/>
  <c r="V7" i="4"/>
  <c r="S7" i="4"/>
  <c r="S6" i="4"/>
  <c r="V6" i="4"/>
  <c r="S5" i="4"/>
  <c r="V5" i="4"/>
  <c r="F14" i="2"/>
  <c r="F15" i="2" s="1"/>
  <c r="R14" i="2"/>
  <c r="R15" i="2" s="1"/>
  <c r="G14" i="2"/>
  <c r="G15" i="2" s="1"/>
  <c r="S14" i="2"/>
  <c r="S15" i="2" s="1"/>
  <c r="W14" i="2"/>
  <c r="W15" i="2" s="1"/>
  <c r="Z14" i="2"/>
  <c r="Z15" i="2" s="1"/>
  <c r="AD14" i="2"/>
  <c r="AD15" i="2" s="1"/>
  <c r="H14" i="2"/>
  <c r="H15" i="2" s="1"/>
  <c r="M14" i="2"/>
  <c r="M15" i="2" s="1"/>
  <c r="T14" i="2"/>
  <c r="T15" i="2" s="1"/>
  <c r="K14" i="2"/>
  <c r="K15" i="2" s="1"/>
  <c r="Q14" i="2"/>
  <c r="Q15" i="2" s="1"/>
  <c r="U14" i="2"/>
  <c r="U15" i="2" s="1"/>
  <c r="I14" i="2"/>
  <c r="I15" i="2" s="1"/>
  <c r="P14" i="2"/>
  <c r="P15" i="2" s="1"/>
  <c r="X14" i="2"/>
  <c r="X15" i="2" s="1"/>
  <c r="AB14" i="2"/>
  <c r="AB15" i="2" s="1"/>
  <c r="J14" i="2"/>
  <c r="J15" i="2" s="1"/>
  <c r="O14" i="2"/>
  <c r="O15" i="2" s="1"/>
  <c r="Y14" i="2"/>
  <c r="Y15" i="2" s="1"/>
  <c r="AC14" i="2"/>
  <c r="AC15" i="2" s="1"/>
  <c r="AF14" i="2"/>
  <c r="AF15" i="2" s="1"/>
  <c r="L14" i="2"/>
  <c r="L15" i="2" s="1"/>
  <c r="N14" i="2"/>
  <c r="N15" i="2" s="1"/>
  <c r="V14" i="2"/>
  <c r="V15" i="2" s="1"/>
  <c r="AA14" i="2"/>
  <c r="AA15" i="2" s="1"/>
  <c r="AE14" i="2"/>
  <c r="AE15" i="2" s="1"/>
  <c r="V37" i="4" l="1"/>
  <c r="V39" i="4" s="1"/>
  <c r="V40" i="4" s="1"/>
  <c r="S3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<sst xmlns="http://schemas.openxmlformats.org/spreadsheetml/2006/main" count="6534" uniqueCount="74">
  <si>
    <t>Program</t>
  </si>
  <si>
    <t>Year</t>
  </si>
  <si>
    <t>Period</t>
  </si>
  <si>
    <t>Week Ending</t>
  </si>
  <si>
    <t>Geo Level</t>
  </si>
  <si>
    <t>State</t>
  </si>
  <si>
    <t>State ANSI</t>
  </si>
  <si>
    <t>Ag District</t>
  </si>
  <si>
    <t>Ag District Code</t>
  </si>
  <si>
    <t>County</t>
  </si>
  <si>
    <t>County ANSI</t>
  </si>
  <si>
    <t>Zip Code</t>
  </si>
  <si>
    <t>Region</t>
  </si>
  <si>
    <t>watershed_code</t>
  </si>
  <si>
    <t>Watershed</t>
  </si>
  <si>
    <t>Commodity</t>
  </si>
  <si>
    <t>Data Item</t>
  </si>
  <si>
    <t>Domain</t>
  </si>
  <si>
    <t>Domain Category</t>
  </si>
  <si>
    <t>Value</t>
  </si>
  <si>
    <t>CV (%)</t>
  </si>
  <si>
    <t>SURVEY</t>
  </si>
  <si>
    <t>WEEK #23</t>
  </si>
  <si>
    <t>STATE</t>
  </si>
  <si>
    <t>TEXAS</t>
  </si>
  <si>
    <t>00000000</t>
  </si>
  <si>
    <t>COTTON</t>
  </si>
  <si>
    <t>COTTON, UPLAND - CONDITION, MEASURED IN PCT EXCELLENT</t>
  </si>
  <si>
    <t>TOTAL</t>
  </si>
  <si>
    <t>NOT SPECIFIED</t>
  </si>
  <si>
    <t>COTTON, UPLAND - CONDITION, MEASURED IN PCT FAIR</t>
  </si>
  <si>
    <t>COTTON, UPLAND - CONDITION, MEASURED IN PCT GOOD</t>
  </si>
  <si>
    <t>COTTON, UPLAND - CONDITION, MEASURED IN PCT POOR</t>
  </si>
  <si>
    <t>COTTON, UPLAND - CONDITION, MEASURED IN PCT VERY POOR</t>
  </si>
  <si>
    <t>WEEK #24</t>
  </si>
  <si>
    <t>WEEK #25</t>
  </si>
  <si>
    <t>WEEK #26</t>
  </si>
  <si>
    <t>WEEK #27</t>
  </si>
  <si>
    <t>WEEK #28</t>
  </si>
  <si>
    <t>WEEK #29</t>
  </si>
  <si>
    <t>WEEK #30</t>
  </si>
  <si>
    <t>WEEK #31</t>
  </si>
  <si>
    <t>WEEK #32</t>
  </si>
  <si>
    <t>WEEK #33</t>
  </si>
  <si>
    <t>WEEK #34</t>
  </si>
  <si>
    <t>WEEK #35</t>
  </si>
  <si>
    <t>WEEK #36</t>
  </si>
  <si>
    <t>WEEK #37</t>
  </si>
  <si>
    <t>WEEK #38</t>
  </si>
  <si>
    <t>WEEK #01</t>
  </si>
  <si>
    <t>WEEK #21</t>
  </si>
  <si>
    <t>WEEK #22</t>
  </si>
  <si>
    <t>WEEK #39</t>
  </si>
  <si>
    <t>WEEK #46</t>
  </si>
  <si>
    <t>WEEK #47</t>
  </si>
  <si>
    <t>WEEK #40</t>
  </si>
  <si>
    <t>WEEK #41</t>
  </si>
  <si>
    <t>WEEK #42</t>
  </si>
  <si>
    <t>WEEK #43</t>
  </si>
  <si>
    <t>WEEK #44</t>
  </si>
  <si>
    <t>WEEK #45</t>
  </si>
  <si>
    <t>WEEK #52</t>
  </si>
  <si>
    <t>min</t>
  </si>
  <si>
    <t>5-yr range</t>
  </si>
  <si>
    <t>Corn</t>
  </si>
  <si>
    <t>Cotton</t>
  </si>
  <si>
    <t>Soy</t>
  </si>
  <si>
    <t>Corn/Soy</t>
  </si>
  <si>
    <t>Corn/Cotton</t>
  </si>
  <si>
    <t>2000/01</t>
  </si>
  <si>
    <t xml:space="preserve">total </t>
  </si>
  <si>
    <t>total</t>
  </si>
  <si>
    <t>soy</t>
  </si>
  <si>
    <t>cotton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</si>
</sst>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quotePrefix="1"/>
    <xf numFmtId="0" fontId="1" fillId="0" borderId="0" xfId="0" applyFont="1"/>
    <xf numFmtId="4"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diagram!$C$14</c:f>
              <c:strCache>
                <c:ptCount val="1"/>
                <c:pt idx="0">
                  <c:v>min</c:v>
                </c:pt>
              </c:strCache>
            </c:strRef>
          </c:tx>
          <c:spPr>
            <a:noFill/>
            <a:ln>
              <a:noFill/>
            </a:ln>
            <a:effectLst/>
          </c:spPr>
          <c:cat>
            <c:strRef>
              <c:f>diagram!$D$13:$S$13</c:f>
              <c:strCache>
                <c:ptCount val="16"/>
                <c:pt idx="0">
                  <c:v>WEEK #23</c:v>
                </c:pt>
                <c:pt idx="1">
                  <c:v>WEEK #24</c:v>
                </c:pt>
                <c:pt idx="2">
                  <c:v>WEEK #25</c:v>
                </c:pt>
                <c:pt idx="3">
                  <c:v>WEEK #26</c:v>
                </c:pt>
                <c:pt idx="4">
                  <c:v>WEEK #27</c:v>
                </c:pt>
                <c:pt idx="5">
                  <c:v>WEEK #28</c:v>
                </c:pt>
                <c:pt idx="6">
                  <c:v>WEEK #29</c:v>
                </c:pt>
                <c:pt idx="7">
                  <c:v>WEEK #30</c:v>
                </c:pt>
                <c:pt idx="8">
                  <c:v>WEEK #31</c:v>
                </c:pt>
                <c:pt idx="9">
                  <c:v>WEEK #32</c:v>
                </c:pt>
                <c:pt idx="10">
                  <c:v>WEEK #33</c:v>
                </c:pt>
                <c:pt idx="11">
                  <c:v>WEEK #34</c:v>
                </c:pt>
                <c:pt idx="12">
                  <c:v>WEEK #35</c:v>
                </c:pt>
                <c:pt idx="13">
                  <c:v>WEEK #36</c:v>
                </c:pt>
                <c:pt idx="14">
                  <c:v>WEEK #37</c:v>
                </c:pt>
                <c:pt idx="15">
                  <c:v>WEEK #38</c:v>
                </c:pt>
              </c:strCache>
            </c:strRef>
          </c:cat>
          <c:val>
            <c:numRef>
              <c:f>diagram!$D$14:$S$14</c:f>
              <c:numCache>
                <c:formatCode>General</c:formatCode>
                <c:ptCount val="16"/>
                <c:pt idx="0">
                  <c:v>28</c:v>
                </c:pt>
                <c:pt idx="1">
                  <c:v>18</c:v>
                </c:pt>
                <c:pt idx="2">
                  <c:v>17</c:v>
                </c:pt>
                <c:pt idx="3">
                  <c:v>17</c:v>
                </c:pt>
                <c:pt idx="4">
                  <c:v>19</c:v>
                </c:pt>
                <c:pt idx="5">
                  <c:v>20</c:v>
                </c:pt>
                <c:pt idx="6">
                  <c:v>15</c:v>
                </c:pt>
                <c:pt idx="7">
                  <c:v>14</c:v>
                </c:pt>
                <c:pt idx="8">
                  <c:v>14</c:v>
                </c:pt>
                <c:pt idx="9">
                  <c:v>12</c:v>
                </c:pt>
                <c:pt idx="10">
                  <c:v>8</c:v>
                </c:pt>
                <c:pt idx="11">
                  <c:v>11</c:v>
                </c:pt>
                <c:pt idx="12">
                  <c:v>10</c:v>
                </c:pt>
                <c:pt idx="13">
                  <c:v>8</c:v>
                </c:pt>
                <c:pt idx="14">
                  <c:v>9</c:v>
                </c:pt>
                <c:pt idx="15">
                  <c:v>9</c:v>
                </c:pt>
              </c:numCache>
            </c:numRef>
          </c:val>
          <c:extLst>
            <c:ext xmlns:c16="http://schemas.microsoft.com/office/drawing/2014/chart" uri="{C3380CC4-5D6E-409C-BE32-E72D297353CC}">
              <c16:uniqueId val="{00000000-D7D6-49C8-B5DD-8FC3E66406E8}"/>
            </c:ext>
          </c:extLst>
        </c:ser>
        <c:ser>
          <c:idx val="1"/>
          <c:order val="1"/>
          <c:tx>
            <c:strRef>
              <c:f>diagram!$C$15</c:f>
              <c:strCache>
                <c:ptCount val="1"/>
                <c:pt idx="0">
                  <c:v>5-yr range</c:v>
                </c:pt>
              </c:strCache>
            </c:strRef>
          </c:tx>
          <c:spPr>
            <a:solidFill>
              <a:schemeClr val="accent2"/>
            </a:solidFill>
            <a:ln>
              <a:noFill/>
            </a:ln>
            <a:effectLst/>
          </c:spPr>
          <c:cat>
            <c:strRef>
              <c:f>diagram!$D$13:$S$13</c:f>
              <c:strCache>
                <c:ptCount val="16"/>
                <c:pt idx="0">
                  <c:v>WEEK #23</c:v>
                </c:pt>
                <c:pt idx="1">
                  <c:v>WEEK #24</c:v>
                </c:pt>
                <c:pt idx="2">
                  <c:v>WEEK #25</c:v>
                </c:pt>
                <c:pt idx="3">
                  <c:v>WEEK #26</c:v>
                </c:pt>
                <c:pt idx="4">
                  <c:v>WEEK #27</c:v>
                </c:pt>
                <c:pt idx="5">
                  <c:v>WEEK #28</c:v>
                </c:pt>
                <c:pt idx="6">
                  <c:v>WEEK #29</c:v>
                </c:pt>
                <c:pt idx="7">
                  <c:v>WEEK #30</c:v>
                </c:pt>
                <c:pt idx="8">
                  <c:v>WEEK #31</c:v>
                </c:pt>
                <c:pt idx="9">
                  <c:v>WEEK #32</c:v>
                </c:pt>
                <c:pt idx="10">
                  <c:v>WEEK #33</c:v>
                </c:pt>
                <c:pt idx="11">
                  <c:v>WEEK #34</c:v>
                </c:pt>
                <c:pt idx="12">
                  <c:v>WEEK #35</c:v>
                </c:pt>
                <c:pt idx="13">
                  <c:v>WEEK #36</c:v>
                </c:pt>
                <c:pt idx="14">
                  <c:v>WEEK #37</c:v>
                </c:pt>
                <c:pt idx="15">
                  <c:v>WEEK #38</c:v>
                </c:pt>
              </c:strCache>
            </c:strRef>
          </c:cat>
          <c:val>
            <c:numRef>
              <c:f>diagram!$D$15:$S$15</c:f>
              <c:numCache>
                <c:formatCode>General</c:formatCode>
                <c:ptCount val="16"/>
                <c:pt idx="0">
                  <c:v>42</c:v>
                </c:pt>
                <c:pt idx="1">
                  <c:v>19</c:v>
                </c:pt>
                <c:pt idx="2">
                  <c:v>30</c:v>
                </c:pt>
                <c:pt idx="3">
                  <c:v>22</c:v>
                </c:pt>
                <c:pt idx="4">
                  <c:v>17</c:v>
                </c:pt>
                <c:pt idx="5">
                  <c:v>20</c:v>
                </c:pt>
                <c:pt idx="6">
                  <c:v>28</c:v>
                </c:pt>
                <c:pt idx="7">
                  <c:v>29</c:v>
                </c:pt>
                <c:pt idx="8">
                  <c:v>28</c:v>
                </c:pt>
                <c:pt idx="9">
                  <c:v>33</c:v>
                </c:pt>
                <c:pt idx="10">
                  <c:v>40</c:v>
                </c:pt>
                <c:pt idx="11">
                  <c:v>39</c:v>
                </c:pt>
                <c:pt idx="12">
                  <c:v>32</c:v>
                </c:pt>
                <c:pt idx="13">
                  <c:v>35</c:v>
                </c:pt>
                <c:pt idx="14">
                  <c:v>35</c:v>
                </c:pt>
                <c:pt idx="15">
                  <c:v>44</c:v>
                </c:pt>
              </c:numCache>
            </c:numRef>
          </c:val>
          <c:extLst>
            <c:ext xmlns:c16="http://schemas.microsoft.com/office/drawing/2014/chart" uri="{C3380CC4-5D6E-409C-BE32-E72D297353CC}">
              <c16:uniqueId val="{00000001-D7D6-49C8-B5DD-8FC3E66406E8}"/>
            </c:ext>
          </c:extLst>
        </c:ser>
        <c:dLbls>
          <c:showLegendKey val="0"/>
          <c:showVal val="0"/>
          <c:showCatName val="0"/>
          <c:showSerName val="0"/>
          <c:showPercent val="0"/>
          <c:showBubbleSize val="0"/>
        </c:dLbls>
        <c:axId val="1192951487"/>
        <c:axId val="673637711"/>
      </c:areaChart>
      <c:lineChart>
        <c:grouping val="standard"/>
        <c:varyColors val="0"/>
        <c:ser>
          <c:idx val="2"/>
          <c:order val="2"/>
          <c:tx>
            <c:strRef>
              <c:f>diagram!$C$16</c:f>
              <c:strCache>
                <c:ptCount val="1"/>
                <c:pt idx="0">
                  <c:v>2026</c:v>
                </c:pt>
              </c:strCache>
            </c:strRef>
          </c:tx>
          <c:spPr>
            <a:ln w="28575" cap="rnd">
              <a:solidFill>
                <a:schemeClr val="accent3"/>
              </a:solidFill>
              <a:round/>
            </a:ln>
            <a:effectLst/>
          </c:spPr>
          <c:marker>
            <c:symbol val="none"/>
          </c:marker>
          <c:cat>
            <c:strRef>
              <c:f>diagram!$D$13:$S$13</c:f>
              <c:strCache>
                <c:ptCount val="16"/>
                <c:pt idx="0">
                  <c:v>WEEK #23</c:v>
                </c:pt>
                <c:pt idx="1">
                  <c:v>WEEK #24</c:v>
                </c:pt>
                <c:pt idx="2">
                  <c:v>WEEK #25</c:v>
                </c:pt>
                <c:pt idx="3">
                  <c:v>WEEK #26</c:v>
                </c:pt>
                <c:pt idx="4">
                  <c:v>WEEK #27</c:v>
                </c:pt>
                <c:pt idx="5">
                  <c:v>WEEK #28</c:v>
                </c:pt>
                <c:pt idx="6">
                  <c:v>WEEK #29</c:v>
                </c:pt>
                <c:pt idx="7">
                  <c:v>WEEK #30</c:v>
                </c:pt>
                <c:pt idx="8">
                  <c:v>WEEK #31</c:v>
                </c:pt>
                <c:pt idx="9">
                  <c:v>WEEK #32</c:v>
                </c:pt>
                <c:pt idx="10">
                  <c:v>WEEK #33</c:v>
                </c:pt>
                <c:pt idx="11">
                  <c:v>WEEK #34</c:v>
                </c:pt>
                <c:pt idx="12">
                  <c:v>WEEK #35</c:v>
                </c:pt>
                <c:pt idx="13">
                  <c:v>WEEK #36</c:v>
                </c:pt>
                <c:pt idx="14">
                  <c:v>WEEK #37</c:v>
                </c:pt>
                <c:pt idx="15">
                  <c:v>WEEK #38</c:v>
                </c:pt>
              </c:strCache>
            </c:strRef>
          </c:cat>
          <c:val>
            <c:numRef>
              <c:f>diagram!$D$16:$S$16</c:f>
              <c:numCache>
                <c:formatCode>General</c:formatCode>
                <c:ptCount val="16"/>
                <c:pt idx="0">
                  <c:v>42</c:v>
                </c:pt>
                <c:pt idx="1">
                  <c:v>32</c:v>
                </c:pt>
                <c:pt idx="2">
                  <c:v>37</c:v>
                </c:pt>
                <c:pt idx="3">
                  <c:v>34</c:v>
                </c:pt>
                <c:pt idx="4">
                  <c:v>31</c:v>
                </c:pt>
                <c:pt idx="5">
                  <c:v>25</c:v>
                </c:pt>
                <c:pt idx="6">
                  <c:v>24</c:v>
                </c:pt>
                <c:pt idx="7">
                  <c:v>29</c:v>
                </c:pt>
                <c:pt idx="8">
                  <c:v>24</c:v>
                </c:pt>
                <c:pt idx="9">
                  <c:v>21</c:v>
                </c:pt>
                <c:pt idx="10">
                  <c:v>19</c:v>
                </c:pt>
                <c:pt idx="11">
                  <c:v>17</c:v>
                </c:pt>
                <c:pt idx="12">
                  <c:v>20</c:v>
                </c:pt>
                <c:pt idx="13">
                  <c:v>15</c:v>
                </c:pt>
                <c:pt idx="14">
                  <c:v>16</c:v>
                </c:pt>
                <c:pt idx="15">
                  <c:v>14</c:v>
                </c:pt>
              </c:numCache>
            </c:numRef>
          </c:val>
          <c:smooth val="0"/>
          <c:extLst>
            <c:ext xmlns:c16="http://schemas.microsoft.com/office/drawing/2014/chart" uri="{C3380CC4-5D6E-409C-BE32-E72D297353CC}">
              <c16:uniqueId val="{00000002-D7D6-49C8-B5DD-8FC3E66406E8}"/>
            </c:ext>
          </c:extLst>
        </c:ser>
        <c:dLbls>
          <c:showLegendKey val="0"/>
          <c:showVal val="0"/>
          <c:showCatName val="0"/>
          <c:showSerName val="0"/>
          <c:showPercent val="0"/>
          <c:showBubbleSize val="0"/>
        </c:dLbls>
        <c:marker val="1"/>
        <c:smooth val="0"/>
        <c:axId val="1192951487"/>
        <c:axId val="673637711"/>
      </c:lineChart>
      <c:catAx>
        <c:axId val="1192951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637711"/>
        <c:crosses val="autoZero"/>
        <c:auto val="1"/>
        <c:lblAlgn val="ctr"/>
        <c:lblOffset val="100"/>
        <c:noMultiLvlLbl val="0"/>
      </c:catAx>
      <c:valAx>
        <c:axId val="673637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crop good-excellent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95148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Pt>
            <c:idx val="17"/>
            <c:marker>
              <c:symbol val="circle"/>
              <c:size val="5"/>
              <c:spPr>
                <a:solidFill>
                  <a:schemeClr val="accent2"/>
                </a:solidFill>
                <a:ln w="9525">
                  <a:solidFill>
                    <a:schemeClr val="accent1"/>
                  </a:solidFill>
                </a:ln>
                <a:effectLst/>
              </c:spPr>
            </c:marker>
            <c:bubble3D val="0"/>
            <c:extLst>
              <c:ext xmlns:c16="http://schemas.microsoft.com/office/drawing/2014/chart" uri="{C3380CC4-5D6E-409C-BE32-E72D297353CC}">
                <c16:uniqueId val="{00000000-7F32-45F8-A07C-806495BD0872}"/>
              </c:ext>
            </c:extLst>
          </c:dPt>
          <c:trendline>
            <c:spPr>
              <a:ln w="19050" cap="rnd">
                <a:solidFill>
                  <a:schemeClr val="accent1"/>
                </a:solidFill>
                <a:prstDash val="sysDot"/>
              </a:ln>
              <a:effectLst/>
            </c:spPr>
            <c:trendlineType val="linear"/>
            <c:dispRSqr val="1"/>
            <c:dispEq val="0"/>
            <c:trendlineLbl>
              <c:layout>
                <c:manualLayout>
                  <c:x val="-0.12798000003361501"/>
                  <c:y val="-0.1573215598838871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Ratios!$S$15:$S$32</c:f>
              <c:numCache>
                <c:formatCode>General</c:formatCode>
                <c:ptCount val="18"/>
                <c:pt idx="0">
                  <c:v>1.1393726422407111</c:v>
                </c:pt>
                <c:pt idx="1">
                  <c:v>1.2250619619966421</c:v>
                </c:pt>
                <c:pt idx="2">
                  <c:v>1.2602787636985413</c:v>
                </c:pt>
                <c:pt idx="3">
                  <c:v>1.24140848737308</c:v>
                </c:pt>
                <c:pt idx="4">
                  <c:v>1.08765126776796</c:v>
                </c:pt>
                <c:pt idx="5">
                  <c:v>1.0648318412775224</c:v>
                </c:pt>
                <c:pt idx="6">
                  <c:v>1.1264304458797167</c:v>
                </c:pt>
                <c:pt idx="7">
                  <c:v>1.0000554557352321</c:v>
                </c:pt>
                <c:pt idx="8">
                  <c:v>0.99611964067424053</c:v>
                </c:pt>
                <c:pt idx="9">
                  <c:v>1.1743758212877793</c:v>
                </c:pt>
                <c:pt idx="10">
                  <c:v>1.0849149410946086</c:v>
                </c:pt>
                <c:pt idx="11">
                  <c:v>1.0654395320832617</c:v>
                </c:pt>
                <c:pt idx="12">
                  <c:v>1.0081417953116065</c:v>
                </c:pt>
                <c:pt idx="13">
                  <c:v>1.1320693779904307</c:v>
                </c:pt>
                <c:pt idx="14">
                  <c:v>1.0418175567270227</c:v>
                </c:pt>
                <c:pt idx="15">
                  <c:v>1.2163762851689959</c:v>
                </c:pt>
                <c:pt idx="16">
                  <c:v>1.1136593785960875</c:v>
                </c:pt>
                <c:pt idx="17">
                  <c:v>1.0954402725949062</c:v>
                </c:pt>
              </c:numCache>
            </c:numRef>
          </c:xVal>
          <c:yVal>
            <c:numRef>
              <c:f>Ratios!$T$15:$T$32</c:f>
              <c:numCache>
                <c:formatCode>General</c:formatCode>
                <c:ptCount val="18"/>
                <c:pt idx="0">
                  <c:v>0.40433643078389325</c:v>
                </c:pt>
                <c:pt idx="1">
                  <c:v>0.4533863293158959</c:v>
                </c:pt>
                <c:pt idx="2">
                  <c:v>0.54027626497673042</c:v>
                </c:pt>
                <c:pt idx="3">
                  <c:v>0.49574014909478165</c:v>
                </c:pt>
                <c:pt idx="4">
                  <c:v>0.32728908467635603</c:v>
                </c:pt>
                <c:pt idx="5">
                  <c:v>0.38811981855154076</c:v>
                </c:pt>
                <c:pt idx="6">
                  <c:v>0.41539779766798279</c:v>
                </c:pt>
                <c:pt idx="7">
                  <c:v>0.35021390906377475</c:v>
                </c:pt>
                <c:pt idx="8">
                  <c:v>0.36441558441558441</c:v>
                </c:pt>
                <c:pt idx="9">
                  <c:v>0.41946308724832215</c:v>
                </c:pt>
                <c:pt idx="10">
                  <c:v>0.41096979332273448</c:v>
                </c:pt>
                <c:pt idx="11">
                  <c:v>0.36939515359664188</c:v>
                </c:pt>
                <c:pt idx="12">
                  <c:v>0.44647224835371591</c:v>
                </c:pt>
                <c:pt idx="13">
                  <c:v>0.44520997375328086</c:v>
                </c:pt>
                <c:pt idx="14">
                  <c:v>0.36432160804020103</c:v>
                </c:pt>
                <c:pt idx="15">
                  <c:v>0.4593037816178312</c:v>
                </c:pt>
                <c:pt idx="16">
                  <c:v>0.42792362768496423</c:v>
                </c:pt>
                <c:pt idx="17">
                  <c:v>0.39928157992046065</c:v>
                </c:pt>
              </c:numCache>
            </c:numRef>
          </c:yVal>
          <c:smooth val="0"/>
          <c:extLst>
            <c:ext xmlns:c16="http://schemas.microsoft.com/office/drawing/2014/chart" uri="{C3380CC4-5D6E-409C-BE32-E72D297353CC}">
              <c16:uniqueId val="{00000002-7F32-45F8-A07C-806495BD0872}"/>
            </c:ext>
          </c:extLst>
        </c:ser>
        <c:dLbls>
          <c:showLegendKey val="0"/>
          <c:showVal val="0"/>
          <c:showCatName val="0"/>
          <c:showSerName val="0"/>
          <c:showPercent val="0"/>
          <c:showBubbleSize val="0"/>
        </c:dLbls>
        <c:axId val="1924976096"/>
        <c:axId val="691555472"/>
      </c:scatterChart>
      <c:valAx>
        <c:axId val="1924976096"/>
        <c:scaling>
          <c:orientation val="minMax"/>
          <c:min val="0.9"/>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corn/soy</a:t>
                </a:r>
                <a:r>
                  <a:rPr lang="en-US" baseline="0"/>
                  <a:t> acreage ratio</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555472"/>
        <c:crosses val="autoZero"/>
        <c:crossBetween val="midCat"/>
      </c:valAx>
      <c:valAx>
        <c:axId val="691555472"/>
        <c:scaling>
          <c:orientation val="minMax"/>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corn/soy price ration (t-1)</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9760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Ratios!$V$16:$V$31</c:f>
              <c:numCache>
                <c:formatCode>General</c:formatCode>
                <c:ptCount val="16"/>
                <c:pt idx="0">
                  <c:v>6.2391248286439458</c:v>
                </c:pt>
                <c:pt idx="1">
                  <c:v>7.9327973647304395</c:v>
                </c:pt>
                <c:pt idx="2">
                  <c:v>9.1635437686172772</c:v>
                </c:pt>
                <c:pt idx="3">
                  <c:v>8.1264576082666569</c:v>
                </c:pt>
                <c:pt idx="4">
                  <c:v>10.258026921508071</c:v>
                </c:pt>
                <c:pt idx="5">
                  <c:v>9.3318111877698922</c:v>
                </c:pt>
                <c:pt idx="6">
                  <c:v>7.0899941026145079</c:v>
                </c:pt>
                <c:pt idx="7">
                  <c:v>6.3077272694992654</c:v>
                </c:pt>
                <c:pt idx="8">
                  <c:v>6.5125667689303119</c:v>
                </c:pt>
                <c:pt idx="9">
                  <c:v>7.4823763031606818</c:v>
                </c:pt>
                <c:pt idx="10">
                  <c:v>8.2899210279748363</c:v>
                </c:pt>
                <c:pt idx="11">
                  <c:v>6.4122481635028006</c:v>
                </c:pt>
                <c:pt idx="12">
                  <c:v>9.2513196480938422</c:v>
                </c:pt>
                <c:pt idx="13">
                  <c:v>8.1292139855137258</c:v>
                </c:pt>
                <c:pt idx="14">
                  <c:v>10.626936316695353</c:v>
                </c:pt>
                <c:pt idx="15">
                  <c:v>9.2609569377990439</c:v>
                </c:pt>
              </c:numCache>
            </c:numRef>
          </c:xVal>
          <c:yVal>
            <c:numRef>
              <c:f>Ratios!$W$16:$W$31</c:f>
              <c:numCache>
                <c:formatCode>General</c:formatCode>
                <c:ptCount val="16"/>
                <c:pt idx="0">
                  <c:v>4.3954146813065399E-2</c:v>
                </c:pt>
                <c:pt idx="1">
                  <c:v>7.1323529411764716E-2</c:v>
                </c:pt>
                <c:pt idx="2">
                  <c:v>9.2044555760611657E-2</c:v>
                </c:pt>
                <c:pt idx="3">
                  <c:v>4.985822306238185E-2</c:v>
                </c:pt>
                <c:pt idx="4">
                  <c:v>6.5870250539240088E-2</c:v>
                </c:pt>
                <c:pt idx="5">
                  <c:v>5.6692477876106193E-2</c:v>
                </c:pt>
                <c:pt idx="6">
                  <c:v>4.9823071479122433E-2</c:v>
                </c:pt>
                <c:pt idx="7">
                  <c:v>4.4607656110899147E-2</c:v>
                </c:pt>
                <c:pt idx="8">
                  <c:v>5.1939058171745149E-2</c:v>
                </c:pt>
                <c:pt idx="9">
                  <c:v>5.6154960173787113E-2</c:v>
                </c:pt>
                <c:pt idx="10">
                  <c:v>6.1955965181771627E-2</c:v>
                </c:pt>
                <c:pt idx="11">
                  <c:v>5.2686500888099473E-2</c:v>
                </c:pt>
                <c:pt idx="12">
                  <c:v>8.138419095597936E-2</c:v>
                </c:pt>
                <c:pt idx="13">
                  <c:v>5.8179012345679015E-2</c:v>
                </c:pt>
                <c:pt idx="14">
                  <c:v>6.7032163742690054E-2</c:v>
                </c:pt>
                <c:pt idx="15">
                  <c:v>6.8330792682926828E-2</c:v>
                </c:pt>
              </c:numCache>
            </c:numRef>
          </c:yVal>
          <c:smooth val="0"/>
          <c:extLst>
            <c:ext xmlns:c16="http://schemas.microsoft.com/office/drawing/2014/chart" uri="{C3380CC4-5D6E-409C-BE32-E72D297353CC}">
              <c16:uniqueId val="{00000001-10F2-4561-BE9C-DEC0040F051D}"/>
            </c:ext>
          </c:extLst>
        </c:ser>
        <c:dLbls>
          <c:showLegendKey val="0"/>
          <c:showVal val="0"/>
          <c:showCatName val="0"/>
          <c:showSerName val="0"/>
          <c:showPercent val="0"/>
          <c:showBubbleSize val="0"/>
        </c:dLbls>
        <c:axId val="1907021648"/>
        <c:axId val="691574672"/>
      </c:scatterChart>
      <c:valAx>
        <c:axId val="1907021648"/>
        <c:scaling>
          <c:orientation val="minMax"/>
          <c:min val="6"/>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corn/cotton acreage ratio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574672"/>
        <c:crosses val="autoZero"/>
        <c:crossBetween val="midCat"/>
      </c:valAx>
      <c:valAx>
        <c:axId val="691574672"/>
        <c:scaling>
          <c:orientation val="minMax"/>
          <c:max val="0.12000000000000001"/>
          <c:min val="3.0000000000000006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corn/cotton price ratio (t-1)</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21648"/>
        <c:crosses val="autoZero"/>
        <c:crossBetween val="midCat"/>
        <c:majorUnit val="3.0000000000000006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19</xdr:col>
      <xdr:colOff>7142</xdr:colOff>
      <xdr:row>18</xdr:row>
      <xdr:rowOff>161925</xdr:rowOff>
    </xdr:from>
    <xdr:to>
      <xdr:col>24</xdr:col>
      <xdr:colOff>171449</xdr:colOff>
      <xdr:row>34</xdr:row>
      <xdr:rowOff>9525</xdr:rowOff>
    </xdr:to>
    <xdr:graphicFrame macro="">
      <xdr:nvGraphicFramePr>
        <xdr:cNvPr id="3" name="Chart 2">
          <a:extLst>
            <a:ext uri="{FF2B5EF4-FFF2-40B4-BE49-F238E27FC236}">
              <a16:creationId xmlns:a16="http://schemas.microsoft.com/office/drawing/2014/main" id="{2FCE8BCA-49DB-1ADC-57B5-71F532BBD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76200</xdr:colOff>
      <xdr:row>6</xdr:row>
      <xdr:rowOff>4763</xdr:rowOff>
    </xdr:from>
    <xdr:to>
      <xdr:col>13</xdr:col>
      <xdr:colOff>419100</xdr:colOff>
      <xdr:row>19</xdr:row>
      <xdr:rowOff>33338</xdr:rowOff>
    </xdr:to>
    <xdr:sp macro="" textlink="">
      <xdr:nvSpPr>
        <xdr:cNvPr id="2" name="TextBox 1">
          <a:extLst>
            <a:ext uri="{FF2B5EF4-FFF2-40B4-BE49-F238E27FC236}">
              <a16:creationId xmlns:a16="http://schemas.microsoft.com/office/drawing/2014/main" id="{06E47515-6460-0728-6AE7-BFA44820F496}"/>
            </a:ext>
          </a:extLst>
        </xdr:cNvPr>
        <xdr:cNvSpPr txBox="1"/>
      </xdr:nvSpPr>
      <xdr:spPr>
        <a:xfrm>
          <a:off x="2667000" y="1090613"/>
          <a:ext cx="6172200" cy="2381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Harvest of the US cotton crop has kicked off in earnest with dry weather across the Southeast facilitating picking ahead of 5 year averages. Condition of the crop varies widely across the cotton belt with good-to-excellent cotton predominating in the southeast, average cotton predominating in the gulf and drought holding back crop potential in Texas. While the Texas crop faces the same hot, dry conditions that led to record cotton abandonment in 2022, the market conditions could not be more different. In 2022, cotton futures fell over the course of the growing season, making abandonment attractive from an insurance perspective. For 2026, however, current futures are up 25% relative to early January discovery prices meaning poor weather should be reflected in lower yields rather than abandoned acres. </a:t>
          </a:r>
        </a:p>
        <a:p>
          <a:r>
            <a:rPr lang="en-US" sz="1100">
              <a:solidFill>
                <a:schemeClr val="dk1"/>
              </a:solidFill>
              <a:effectLst/>
              <a:latin typeface="+mn-lt"/>
              <a:ea typeface="+mn-ea"/>
              <a:cs typeface="+mn-cs"/>
            </a:rPr>
            <a:t>Deterioration of the Texas crop has provided a new accelerant to cotton futures which had previously garnered strength from a short crop out of Australia, reduced supports for smallholders in China and a pause in Brazilian growth for 2026/27. While all these factors have helped tighten stocks from the supply side of the ledger cotton futures have faced resistance from a world grappling with macroeconomic uncertainty and high energy prices – none of which are good for demand. That said, prices in the mid-80s are profitable for much of the world’s production and where weather permits, will drive an increase in acreage for the year ahead. </a:t>
          </a:r>
        </a:p>
        <a:p>
          <a:r>
            <a:rPr lang="en-US" sz="1100">
              <a:solidFill>
                <a:schemeClr val="dk1"/>
              </a:solidFill>
              <a:effectLst/>
              <a:latin typeface="+mn-lt"/>
              <a:ea typeface="+mn-ea"/>
              <a:cs typeface="+mn-cs"/>
            </a:rPr>
            <a:t>In the case of the US, the ratio of December corn to cotton futures point to a pickup of one million acres (10%), aided by increases to the cotton safety net under the Big Beautiful Bill that exceeded those awarded to other crops.  Meanwhile in Brazil, current estimates point to a 4-7% increase. For China, acreage determination will depend on the level of support extended to the smallholder while in Australia it will be a function of water availability, with El Nino typically corresponding to lower rainfalls.  </a:t>
          </a:r>
        </a:p>
        <a:p>
          <a:r>
            <a:rPr lang="en-US" sz="1100">
              <a:solidFill>
                <a:schemeClr val="dk1"/>
              </a:solidFill>
              <a:effectLst/>
              <a:latin typeface="+mn-lt"/>
              <a:ea typeface="+mn-ea"/>
              <a:cs typeface="+mn-cs"/>
            </a:rPr>
            <a:t>With production down, global stocks-to-use for 2026/27 are projected to be at their tightest levels since 2010-11. For markets to find new momentum, there will need to be confidence that demand growth is forthcoming. The cotton industry’s “Plant not Plastic” campaign, as well as complimentary efforts in the textile industry are helping at the margins, but the real shot in the arm will need to come from global economic growth. In response to events in Iran the OECD is currently forecasting 2026 economic growth of 2.9% but revising this figure up to 3% for 2027 – historically the minimum needed to maintain cotton consumption globally. While grains and oilseeds may be benefitting from high energy prices (via the biofuel link) cotton is not, and will be best served by a return to global stability. </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183356</xdr:colOff>
      <xdr:row>35</xdr:row>
      <xdr:rowOff>47624</xdr:rowOff>
    </xdr:from>
    <xdr:to>
      <xdr:col>16</xdr:col>
      <xdr:colOff>461963</xdr:colOff>
      <xdr:row>54</xdr:row>
      <xdr:rowOff>4762</xdr:rowOff>
    </xdr:to>
    <xdr:graphicFrame macro="">
      <xdr:nvGraphicFramePr>
        <xdr:cNvPr id="2" name="Chart 1">
          <a:extLst>
            <a:ext uri="{FF2B5EF4-FFF2-40B4-BE49-F238E27FC236}">
              <a16:creationId xmlns:a16="http://schemas.microsoft.com/office/drawing/2014/main" id="{72DEE182-44CD-46E1-B119-0019635A9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111918</xdr:colOff>
      <xdr:row>14</xdr:row>
      <xdr:rowOff>147638</xdr:rowOff>
    </xdr:from>
    <xdr:to>
      <xdr:col>33</xdr:col>
      <xdr:colOff>150018</xdr:colOff>
      <xdr:row>34</xdr:row>
      <xdr:rowOff>66675</xdr:rowOff>
    </xdr:to>
    <xdr:graphicFrame macro="">
      <xdr:nvGraphicFramePr>
        <xdr:cNvPr id="3" name="Chart 2">
          <a:extLst>
            <a:ext uri="{FF2B5EF4-FFF2-40B4-BE49-F238E27FC236}">
              <a16:creationId xmlns:a16="http://schemas.microsoft.com/office/drawing/2014/main" id="{73F16956-F313-4292-819D-452ACB4E1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yngenta/syngenta%20diagrams.xlsx" TargetMode="External"/><Relationship Id="rId2" Type="http://schemas.openxmlformats.org/officeDocument/2006/relationships/externalLinkPath" Target="https://d.docs.live.net/957930577e6e4bc8/Desktop/Presentations/syngenta/syngenta%20diagrams.xlsx" TargetMode="External"/><Relationship Id="rId1" Type="http://schemas.openxmlformats.org/officeDocument/2006/relationships/externalLinkPath" Target="/957930577e6e4bc8/Desktop/Presentations/syngenta/syngenta%20diagra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Z corn and beans"/>
      <sheetName val="french corn condition"/>
      <sheetName val="china sales data"/>
      <sheetName val="china soybean dig"/>
      <sheetName val="east europe exports"/>
      <sheetName val="china purchases"/>
      <sheetName val="china purchases dig"/>
      <sheetName val="US COTTON ACREAGE"/>
      <sheetName val="US SOY ACREAGE"/>
      <sheetName val="US CORN ACREAGE"/>
      <sheetName val="soy futures"/>
      <sheetName val="corn futures"/>
      <sheetName val="cotton futures"/>
      <sheetName val="Ratios"/>
    </sheetNames>
    <sheetDataSet>
      <sheetData sheetId="0"/>
      <sheetData sheetId="1"/>
      <sheetData sheetId="2"/>
      <sheetData sheetId="3"/>
      <sheetData sheetId="4"/>
      <sheetData sheetId="5"/>
      <sheetData sheetId="6"/>
      <sheetData sheetId="7">
        <row r="33">
          <cell r="B33">
            <v>15517</v>
          </cell>
        </row>
        <row r="34">
          <cell r="B34">
            <v>15768.5</v>
          </cell>
        </row>
        <row r="35">
          <cell r="B35">
            <v>13957.9</v>
          </cell>
        </row>
        <row r="36">
          <cell r="B36">
            <v>13479.6</v>
          </cell>
        </row>
        <row r="37">
          <cell r="B37">
            <v>13658.6</v>
          </cell>
        </row>
        <row r="38">
          <cell r="B38">
            <v>14245.4</v>
          </cell>
        </row>
        <row r="39">
          <cell r="B39">
            <v>15274</v>
          </cell>
        </row>
        <row r="40">
          <cell r="B40">
            <v>10827.2</v>
          </cell>
        </row>
        <row r="41">
          <cell r="B41">
            <v>9471</v>
          </cell>
        </row>
        <row r="42">
          <cell r="B42">
            <v>9149.5</v>
          </cell>
        </row>
        <row r="43">
          <cell r="B43">
            <v>10974.2</v>
          </cell>
        </row>
        <row r="44">
          <cell r="B44">
            <v>14735.4</v>
          </cell>
        </row>
        <row r="45">
          <cell r="B45">
            <v>12264.4</v>
          </cell>
        </row>
        <row r="46">
          <cell r="B46">
            <v>10407</v>
          </cell>
        </row>
        <row r="47">
          <cell r="B47">
            <v>11148.4</v>
          </cell>
        </row>
        <row r="48">
          <cell r="B48">
            <v>8580.5</v>
          </cell>
        </row>
        <row r="49">
          <cell r="B49">
            <v>10073.5</v>
          </cell>
        </row>
        <row r="50">
          <cell r="B50">
            <v>12717.5</v>
          </cell>
        </row>
        <row r="51">
          <cell r="B51">
            <v>14081.3</v>
          </cell>
        </row>
        <row r="52">
          <cell r="B52">
            <v>13722.7</v>
          </cell>
        </row>
        <row r="53">
          <cell r="B53">
            <v>12086</v>
          </cell>
        </row>
        <row r="54">
          <cell r="B54">
            <v>11206.5</v>
          </cell>
        </row>
        <row r="55">
          <cell r="B55">
            <v>13749</v>
          </cell>
        </row>
        <row r="56">
          <cell r="B56">
            <v>10230</v>
          </cell>
        </row>
        <row r="57">
          <cell r="B57">
            <v>11183</v>
          </cell>
        </row>
        <row r="58">
          <cell r="B58">
            <v>9296</v>
          </cell>
        </row>
      </sheetData>
      <sheetData sheetId="8">
        <row r="23">
          <cell r="B23">
            <v>74266</v>
          </cell>
        </row>
        <row r="24">
          <cell r="B24">
            <v>74075</v>
          </cell>
        </row>
        <row r="25">
          <cell r="B25">
            <v>73963</v>
          </cell>
        </row>
        <row r="26">
          <cell r="B26">
            <v>73404</v>
          </cell>
        </row>
        <row r="27">
          <cell r="B27">
            <v>75208</v>
          </cell>
        </row>
        <row r="28">
          <cell r="B28">
            <v>72032</v>
          </cell>
        </row>
        <row r="29">
          <cell r="B29">
            <v>75522</v>
          </cell>
        </row>
        <row r="30">
          <cell r="B30">
            <v>64741</v>
          </cell>
        </row>
        <row r="31">
          <cell r="B31">
            <v>75718</v>
          </cell>
        </row>
        <row r="32">
          <cell r="B32">
            <v>77451</v>
          </cell>
        </row>
        <row r="33">
          <cell r="B33">
            <v>77404</v>
          </cell>
        </row>
        <row r="34">
          <cell r="B34">
            <v>75046</v>
          </cell>
        </row>
        <row r="35">
          <cell r="B35">
            <v>77198</v>
          </cell>
        </row>
        <row r="36">
          <cell r="B36">
            <v>76820</v>
          </cell>
        </row>
        <row r="37">
          <cell r="B37">
            <v>83296</v>
          </cell>
        </row>
        <row r="38">
          <cell r="B38">
            <v>82660</v>
          </cell>
        </row>
        <row r="39">
          <cell r="B39">
            <v>83453</v>
          </cell>
        </row>
        <row r="40">
          <cell r="B40">
            <v>90162</v>
          </cell>
        </row>
        <row r="41">
          <cell r="B41">
            <v>89167</v>
          </cell>
        </row>
        <row r="42">
          <cell r="B42">
            <v>76100</v>
          </cell>
        </row>
        <row r="43">
          <cell r="B43">
            <v>83354</v>
          </cell>
        </row>
        <row r="44">
          <cell r="B44">
            <v>87195</v>
          </cell>
        </row>
        <row r="45">
          <cell r="B45">
            <v>87450</v>
          </cell>
        </row>
        <row r="46">
          <cell r="B46">
            <v>83600</v>
          </cell>
        </row>
        <row r="47">
          <cell r="B47">
            <v>87260</v>
          </cell>
        </row>
        <row r="48">
          <cell r="B48">
            <v>81215</v>
          </cell>
        </row>
      </sheetData>
      <sheetData sheetId="9">
        <row r="137">
          <cell r="C137">
            <v>79.551000000000002</v>
          </cell>
        </row>
        <row r="138">
          <cell r="C138">
            <v>75.701999999999998</v>
          </cell>
        </row>
        <row r="139">
          <cell r="C139">
            <v>78.894000000000005</v>
          </cell>
        </row>
        <row r="140">
          <cell r="C140">
            <v>78.602999999999994</v>
          </cell>
        </row>
        <row r="141">
          <cell r="C141">
            <v>80.929000000000002</v>
          </cell>
        </row>
        <row r="142">
          <cell r="C142">
            <v>81.778999999999996</v>
          </cell>
        </row>
        <row r="143">
          <cell r="C143">
            <v>78.326999999999998</v>
          </cell>
        </row>
        <row r="144">
          <cell r="C144">
            <v>93.527000000000001</v>
          </cell>
        </row>
        <row r="145">
          <cell r="C145">
            <v>85.981999999999999</v>
          </cell>
        </row>
        <row r="146">
          <cell r="C146">
            <v>86.382000000000005</v>
          </cell>
        </row>
        <row r="147">
          <cell r="C147">
            <v>88.191999999999993</v>
          </cell>
        </row>
        <row r="148">
          <cell r="C148">
            <v>91.936000000000007</v>
          </cell>
        </row>
        <row r="149">
          <cell r="C149">
            <v>97.290999999999997</v>
          </cell>
        </row>
        <row r="150">
          <cell r="C150">
            <v>95.364999999999995</v>
          </cell>
        </row>
        <row r="151">
          <cell r="C151">
            <v>90.596999999999994</v>
          </cell>
        </row>
        <row r="152">
          <cell r="C152">
            <v>88.019000000000005</v>
          </cell>
        </row>
        <row r="153">
          <cell r="C153">
            <v>94.004000000000005</v>
          </cell>
        </row>
        <row r="154">
          <cell r="C154">
            <v>90.167000000000002</v>
          </cell>
        </row>
        <row r="155">
          <cell r="C155">
            <v>88.820999999999998</v>
          </cell>
        </row>
        <row r="156">
          <cell r="C156">
            <v>89.37</v>
          </cell>
        </row>
        <row r="157">
          <cell r="C157">
            <v>90.432000000000002</v>
          </cell>
        </row>
        <row r="158">
          <cell r="C158">
            <v>92.900999999999996</v>
          </cell>
        </row>
        <row r="159">
          <cell r="C159">
            <v>88.162000000000006</v>
          </cell>
        </row>
        <row r="160">
          <cell r="C160">
            <v>94.641000000000005</v>
          </cell>
        </row>
        <row r="161">
          <cell r="C161">
            <v>90.909000000000006</v>
          </cell>
        </row>
        <row r="162">
          <cell r="C162">
            <v>98.787999999999997</v>
          </cell>
        </row>
        <row r="163">
          <cell r="C163">
            <v>96.777000000000001</v>
          </cell>
        </row>
      </sheetData>
      <sheetData sheetId="10">
        <row r="1">
          <cell r="A1">
            <v>9</v>
          </cell>
          <cell r="B1">
            <v>2026</v>
          </cell>
          <cell r="D1">
            <v>1325.13</v>
          </cell>
        </row>
        <row r="2">
          <cell r="A2">
            <v>8</v>
          </cell>
          <cell r="B2">
            <v>2026</v>
          </cell>
          <cell r="D2">
            <v>1288</v>
          </cell>
        </row>
        <row r="3">
          <cell r="A3">
            <v>7</v>
          </cell>
          <cell r="B3">
            <v>2026</v>
          </cell>
          <cell r="D3">
            <v>1187.5</v>
          </cell>
        </row>
        <row r="4">
          <cell r="A4">
            <v>6</v>
          </cell>
          <cell r="B4">
            <v>2026</v>
          </cell>
          <cell r="D4">
            <v>1143.75</v>
          </cell>
        </row>
        <row r="5">
          <cell r="A5">
            <v>5</v>
          </cell>
          <cell r="B5">
            <v>2026</v>
          </cell>
          <cell r="D5">
            <v>1186.75</v>
          </cell>
        </row>
        <row r="6">
          <cell r="A6">
            <v>4</v>
          </cell>
          <cell r="B6">
            <v>2026</v>
          </cell>
          <cell r="D6">
            <v>1195.5</v>
          </cell>
        </row>
        <row r="7">
          <cell r="A7">
            <v>3</v>
          </cell>
          <cell r="B7">
            <v>2026</v>
          </cell>
          <cell r="D7">
            <v>1183.5</v>
          </cell>
        </row>
        <row r="8">
          <cell r="A8">
            <v>2</v>
          </cell>
          <cell r="B8">
            <v>2026</v>
          </cell>
          <cell r="D8">
            <v>1171</v>
          </cell>
        </row>
        <row r="9">
          <cell r="A9">
            <v>1</v>
          </cell>
          <cell r="B9">
            <v>2026</v>
          </cell>
          <cell r="D9">
            <v>1064.25</v>
          </cell>
        </row>
        <row r="10">
          <cell r="A10">
            <v>12</v>
          </cell>
          <cell r="B10">
            <v>2025</v>
          </cell>
          <cell r="D10">
            <v>1047.5</v>
          </cell>
        </row>
        <row r="11">
          <cell r="A11">
            <v>11</v>
          </cell>
          <cell r="B11">
            <v>2025</v>
          </cell>
          <cell r="D11">
            <v>1137.75</v>
          </cell>
        </row>
        <row r="12">
          <cell r="A12">
            <v>10</v>
          </cell>
          <cell r="B12">
            <v>2025</v>
          </cell>
          <cell r="D12">
            <v>1115.25</v>
          </cell>
        </row>
        <row r="13">
          <cell r="A13">
            <v>9</v>
          </cell>
          <cell r="B13">
            <v>2025</v>
          </cell>
          <cell r="D13">
            <v>1020.25</v>
          </cell>
        </row>
        <row r="14">
          <cell r="A14">
            <v>8</v>
          </cell>
          <cell r="B14">
            <v>2025</v>
          </cell>
          <cell r="D14">
            <v>1036.75</v>
          </cell>
        </row>
        <row r="15">
          <cell r="A15">
            <v>7</v>
          </cell>
          <cell r="B15">
            <v>2025</v>
          </cell>
          <cell r="D15">
            <v>969.5</v>
          </cell>
        </row>
        <row r="16">
          <cell r="A16">
            <v>6</v>
          </cell>
          <cell r="B16">
            <v>2025</v>
          </cell>
          <cell r="D16">
            <v>1024.25</v>
          </cell>
        </row>
        <row r="17">
          <cell r="A17">
            <v>5</v>
          </cell>
          <cell r="B17">
            <v>2025</v>
          </cell>
          <cell r="D17">
            <v>1036.75</v>
          </cell>
        </row>
        <row r="18">
          <cell r="A18">
            <v>4</v>
          </cell>
          <cell r="B18">
            <v>2025</v>
          </cell>
          <cell r="D18">
            <v>1044.5</v>
          </cell>
        </row>
        <row r="19">
          <cell r="A19">
            <v>3</v>
          </cell>
          <cell r="B19">
            <v>2025</v>
          </cell>
          <cell r="D19">
            <v>1028.25</v>
          </cell>
        </row>
        <row r="20">
          <cell r="A20">
            <v>2</v>
          </cell>
          <cell r="B20">
            <v>2025</v>
          </cell>
          <cell r="D20">
            <v>1011.5</v>
          </cell>
        </row>
        <row r="21">
          <cell r="A21">
            <v>1</v>
          </cell>
          <cell r="B21">
            <v>2025</v>
          </cell>
          <cell r="D21">
            <v>1057.5</v>
          </cell>
        </row>
        <row r="22">
          <cell r="A22">
            <v>12</v>
          </cell>
          <cell r="B22">
            <v>2024</v>
          </cell>
          <cell r="D22">
            <v>998.25</v>
          </cell>
        </row>
        <row r="23">
          <cell r="A23">
            <v>11</v>
          </cell>
          <cell r="B23">
            <v>2024</v>
          </cell>
          <cell r="D23">
            <v>989.5</v>
          </cell>
        </row>
        <row r="24">
          <cell r="A24">
            <v>10</v>
          </cell>
          <cell r="B24">
            <v>2024</v>
          </cell>
          <cell r="D24">
            <v>982.5</v>
          </cell>
        </row>
        <row r="25">
          <cell r="A25">
            <v>9</v>
          </cell>
          <cell r="B25">
            <v>2024</v>
          </cell>
          <cell r="D25">
            <v>1057</v>
          </cell>
        </row>
        <row r="26">
          <cell r="A26">
            <v>8</v>
          </cell>
          <cell r="B26">
            <v>2024</v>
          </cell>
          <cell r="D26">
            <v>982</v>
          </cell>
        </row>
        <row r="27">
          <cell r="A27">
            <v>7</v>
          </cell>
          <cell r="B27">
            <v>2024</v>
          </cell>
          <cell r="D27">
            <v>1014.5</v>
          </cell>
        </row>
        <row r="28">
          <cell r="A28">
            <v>6</v>
          </cell>
          <cell r="B28">
            <v>2024</v>
          </cell>
          <cell r="D28">
            <v>1150.5</v>
          </cell>
        </row>
        <row r="29">
          <cell r="A29">
            <v>5</v>
          </cell>
          <cell r="B29">
            <v>2024</v>
          </cell>
          <cell r="D29">
            <v>1203.5</v>
          </cell>
        </row>
        <row r="30">
          <cell r="A30">
            <v>4</v>
          </cell>
          <cell r="B30">
            <v>2024</v>
          </cell>
          <cell r="D30">
            <v>1163</v>
          </cell>
        </row>
        <row r="31">
          <cell r="A31">
            <v>3</v>
          </cell>
          <cell r="B31">
            <v>2024</v>
          </cell>
          <cell r="D31">
            <v>1205.25</v>
          </cell>
        </row>
        <row r="32">
          <cell r="A32">
            <v>2</v>
          </cell>
          <cell r="B32">
            <v>2024</v>
          </cell>
          <cell r="D32">
            <v>1128.25</v>
          </cell>
        </row>
        <row r="33">
          <cell r="A33">
            <v>1</v>
          </cell>
          <cell r="B33">
            <v>2024</v>
          </cell>
          <cell r="D33">
            <v>1232.75</v>
          </cell>
        </row>
        <row r="34">
          <cell r="A34">
            <v>12</v>
          </cell>
          <cell r="B34">
            <v>2023</v>
          </cell>
          <cell r="D34">
            <v>1293.5</v>
          </cell>
        </row>
        <row r="35">
          <cell r="A35">
            <v>11</v>
          </cell>
          <cell r="B35">
            <v>2023</v>
          </cell>
          <cell r="D35">
            <v>1342.75</v>
          </cell>
        </row>
        <row r="36">
          <cell r="A36">
            <v>10</v>
          </cell>
          <cell r="B36">
            <v>2023</v>
          </cell>
          <cell r="D36">
            <v>1310.5</v>
          </cell>
        </row>
        <row r="37">
          <cell r="A37">
            <v>9</v>
          </cell>
          <cell r="B37">
            <v>2023</v>
          </cell>
          <cell r="D37">
            <v>1275</v>
          </cell>
        </row>
        <row r="38">
          <cell r="A38">
            <v>8</v>
          </cell>
          <cell r="B38">
            <v>2023</v>
          </cell>
          <cell r="D38">
            <v>1368.75</v>
          </cell>
        </row>
        <row r="39">
          <cell r="A39">
            <v>7</v>
          </cell>
          <cell r="B39">
            <v>2023</v>
          </cell>
          <cell r="D39">
            <v>1331.75</v>
          </cell>
        </row>
        <row r="40">
          <cell r="A40">
            <v>6</v>
          </cell>
          <cell r="B40">
            <v>2023</v>
          </cell>
          <cell r="D40">
            <v>1442</v>
          </cell>
        </row>
        <row r="41">
          <cell r="A41">
            <v>5</v>
          </cell>
          <cell r="B41">
            <v>2023</v>
          </cell>
          <cell r="D41">
            <v>1299.75</v>
          </cell>
        </row>
        <row r="42">
          <cell r="A42">
            <v>4</v>
          </cell>
          <cell r="B42">
            <v>2023</v>
          </cell>
          <cell r="D42">
            <v>1419.25</v>
          </cell>
        </row>
        <row r="43">
          <cell r="A43">
            <v>3</v>
          </cell>
          <cell r="B43">
            <v>2023</v>
          </cell>
          <cell r="D43">
            <v>1505.5</v>
          </cell>
        </row>
        <row r="44">
          <cell r="A44">
            <v>2</v>
          </cell>
          <cell r="B44">
            <v>2023</v>
          </cell>
          <cell r="D44">
            <v>1479.5</v>
          </cell>
        </row>
        <row r="45">
          <cell r="A45">
            <v>1</v>
          </cell>
          <cell r="B45">
            <v>2023</v>
          </cell>
          <cell r="D45">
            <v>1538</v>
          </cell>
        </row>
        <row r="46">
          <cell r="A46">
            <v>12</v>
          </cell>
          <cell r="B46">
            <v>2022</v>
          </cell>
          <cell r="D46">
            <v>1524</v>
          </cell>
        </row>
        <row r="47">
          <cell r="A47">
            <v>11</v>
          </cell>
          <cell r="B47">
            <v>2022</v>
          </cell>
          <cell r="D47">
            <v>1469.5</v>
          </cell>
        </row>
        <row r="48">
          <cell r="A48">
            <v>10</v>
          </cell>
          <cell r="B48">
            <v>2022</v>
          </cell>
          <cell r="D48">
            <v>1419.5</v>
          </cell>
        </row>
        <row r="49">
          <cell r="A49">
            <v>9</v>
          </cell>
          <cell r="B49">
            <v>2022</v>
          </cell>
          <cell r="D49">
            <v>1364.75</v>
          </cell>
        </row>
        <row r="50">
          <cell r="A50">
            <v>8</v>
          </cell>
          <cell r="B50">
            <v>2022</v>
          </cell>
          <cell r="D50">
            <v>1422.5</v>
          </cell>
        </row>
        <row r="51">
          <cell r="A51">
            <v>7</v>
          </cell>
          <cell r="B51">
            <v>2022</v>
          </cell>
          <cell r="D51">
            <v>1468.5</v>
          </cell>
        </row>
        <row r="52">
          <cell r="A52">
            <v>6</v>
          </cell>
          <cell r="B52">
            <v>2022</v>
          </cell>
          <cell r="D52">
            <v>1560.5</v>
          </cell>
        </row>
        <row r="53">
          <cell r="A53">
            <v>5</v>
          </cell>
          <cell r="B53">
            <v>2022</v>
          </cell>
          <cell r="D53">
            <v>1687</v>
          </cell>
        </row>
        <row r="54">
          <cell r="A54">
            <v>4</v>
          </cell>
          <cell r="B54">
            <v>2022</v>
          </cell>
          <cell r="D54">
            <v>1684.75</v>
          </cell>
        </row>
        <row r="55">
          <cell r="A55">
            <v>3</v>
          </cell>
          <cell r="B55">
            <v>2022</v>
          </cell>
          <cell r="D55">
            <v>1618.25</v>
          </cell>
        </row>
        <row r="56">
          <cell r="A56">
            <v>2</v>
          </cell>
          <cell r="B56">
            <v>2022</v>
          </cell>
          <cell r="D56">
            <v>1644.25</v>
          </cell>
        </row>
        <row r="57">
          <cell r="A57">
            <v>1</v>
          </cell>
          <cell r="B57">
            <v>2022</v>
          </cell>
          <cell r="D57">
            <v>1490.5</v>
          </cell>
        </row>
        <row r="58">
          <cell r="A58">
            <v>12</v>
          </cell>
          <cell r="B58">
            <v>2021</v>
          </cell>
          <cell r="D58">
            <v>1328.75</v>
          </cell>
        </row>
        <row r="59">
          <cell r="A59">
            <v>11</v>
          </cell>
          <cell r="B59">
            <v>2021</v>
          </cell>
          <cell r="D59">
            <v>1217.25</v>
          </cell>
        </row>
        <row r="60">
          <cell r="A60">
            <v>10</v>
          </cell>
          <cell r="B60">
            <v>2021</v>
          </cell>
          <cell r="D60">
            <v>1235.75</v>
          </cell>
        </row>
        <row r="61">
          <cell r="A61">
            <v>9</v>
          </cell>
          <cell r="B61">
            <v>2021</v>
          </cell>
          <cell r="D61">
            <v>1257</v>
          </cell>
        </row>
        <row r="62">
          <cell r="A62">
            <v>8</v>
          </cell>
          <cell r="B62">
            <v>2021</v>
          </cell>
          <cell r="D62">
            <v>1293.5</v>
          </cell>
        </row>
        <row r="63">
          <cell r="A63">
            <v>7</v>
          </cell>
          <cell r="B63">
            <v>2021</v>
          </cell>
          <cell r="D63">
            <v>1348.38</v>
          </cell>
        </row>
        <row r="64">
          <cell r="A64">
            <v>6</v>
          </cell>
          <cell r="B64">
            <v>2021</v>
          </cell>
          <cell r="D64">
            <v>1393.5</v>
          </cell>
        </row>
        <row r="65">
          <cell r="A65">
            <v>5</v>
          </cell>
          <cell r="B65">
            <v>2021</v>
          </cell>
          <cell r="D65">
            <v>1528.5</v>
          </cell>
        </row>
        <row r="66">
          <cell r="A66">
            <v>4</v>
          </cell>
          <cell r="B66">
            <v>2021</v>
          </cell>
          <cell r="D66">
            <v>1535.62</v>
          </cell>
        </row>
        <row r="67">
          <cell r="A67">
            <v>3</v>
          </cell>
          <cell r="B67">
            <v>2021</v>
          </cell>
          <cell r="D67">
            <v>1436.75</v>
          </cell>
        </row>
        <row r="68">
          <cell r="A68">
            <v>2</v>
          </cell>
          <cell r="B68">
            <v>2021</v>
          </cell>
          <cell r="D68">
            <v>1407.88</v>
          </cell>
        </row>
        <row r="69">
          <cell r="A69">
            <v>1</v>
          </cell>
          <cell r="B69">
            <v>2021</v>
          </cell>
          <cell r="D69">
            <v>1364.38</v>
          </cell>
        </row>
        <row r="70">
          <cell r="A70">
            <v>12</v>
          </cell>
          <cell r="B70">
            <v>2020</v>
          </cell>
          <cell r="D70">
            <v>1310.25</v>
          </cell>
        </row>
        <row r="71">
          <cell r="A71">
            <v>11</v>
          </cell>
          <cell r="B71">
            <v>2020</v>
          </cell>
          <cell r="D71">
            <v>1168.75</v>
          </cell>
        </row>
        <row r="72">
          <cell r="A72">
            <v>10</v>
          </cell>
          <cell r="B72">
            <v>2020</v>
          </cell>
          <cell r="D72">
            <v>1056.8800000000001</v>
          </cell>
        </row>
        <row r="73">
          <cell r="A73">
            <v>9</v>
          </cell>
          <cell r="B73">
            <v>2020</v>
          </cell>
          <cell r="D73">
            <v>1021.75</v>
          </cell>
        </row>
        <row r="74">
          <cell r="A74">
            <v>8</v>
          </cell>
          <cell r="B74">
            <v>2020</v>
          </cell>
          <cell r="D74">
            <v>952.5</v>
          </cell>
        </row>
        <row r="75">
          <cell r="A75">
            <v>7</v>
          </cell>
          <cell r="B75">
            <v>2020</v>
          </cell>
          <cell r="D75">
            <v>897.25</v>
          </cell>
        </row>
        <row r="76">
          <cell r="A76">
            <v>6</v>
          </cell>
          <cell r="B76">
            <v>2020</v>
          </cell>
          <cell r="D76">
            <v>883</v>
          </cell>
        </row>
        <row r="77">
          <cell r="A77">
            <v>5</v>
          </cell>
          <cell r="B77">
            <v>2020</v>
          </cell>
          <cell r="D77">
            <v>840.5</v>
          </cell>
        </row>
        <row r="78">
          <cell r="A78">
            <v>4</v>
          </cell>
          <cell r="B78">
            <v>2020</v>
          </cell>
          <cell r="D78">
            <v>855.5</v>
          </cell>
        </row>
        <row r="79">
          <cell r="A79">
            <v>3</v>
          </cell>
          <cell r="B79">
            <v>2020</v>
          </cell>
          <cell r="D79">
            <v>885.5</v>
          </cell>
        </row>
        <row r="80">
          <cell r="A80">
            <v>2</v>
          </cell>
          <cell r="B80">
            <v>2020</v>
          </cell>
          <cell r="D80">
            <v>893.12</v>
          </cell>
        </row>
        <row r="81">
          <cell r="A81">
            <v>1</v>
          </cell>
          <cell r="B81">
            <v>2020</v>
          </cell>
          <cell r="D81">
            <v>872.62</v>
          </cell>
        </row>
        <row r="82">
          <cell r="A82">
            <v>12</v>
          </cell>
          <cell r="B82">
            <v>2019</v>
          </cell>
          <cell r="D82">
            <v>943.5</v>
          </cell>
        </row>
        <row r="83">
          <cell r="A83">
            <v>11</v>
          </cell>
          <cell r="B83">
            <v>2019</v>
          </cell>
          <cell r="D83">
            <v>876.62</v>
          </cell>
        </row>
        <row r="84">
          <cell r="A84">
            <v>10</v>
          </cell>
          <cell r="B84">
            <v>2019</v>
          </cell>
          <cell r="D84">
            <v>931.75</v>
          </cell>
        </row>
        <row r="85">
          <cell r="A85">
            <v>9</v>
          </cell>
          <cell r="B85">
            <v>2019</v>
          </cell>
          <cell r="D85">
            <v>904.25</v>
          </cell>
        </row>
        <row r="86">
          <cell r="A86">
            <v>8</v>
          </cell>
          <cell r="B86">
            <v>2019</v>
          </cell>
          <cell r="D86">
            <v>868.25</v>
          </cell>
        </row>
        <row r="87">
          <cell r="A87">
            <v>7</v>
          </cell>
          <cell r="B87">
            <v>2019</v>
          </cell>
          <cell r="D87">
            <v>880.25</v>
          </cell>
        </row>
        <row r="88">
          <cell r="A88">
            <v>6</v>
          </cell>
          <cell r="B88">
            <v>2019</v>
          </cell>
          <cell r="D88">
            <v>881.88</v>
          </cell>
        </row>
        <row r="89">
          <cell r="A89">
            <v>5</v>
          </cell>
          <cell r="B89">
            <v>2019</v>
          </cell>
          <cell r="D89">
            <v>878.25</v>
          </cell>
        </row>
        <row r="90">
          <cell r="A90">
            <v>4</v>
          </cell>
          <cell r="B90">
            <v>2019</v>
          </cell>
          <cell r="D90">
            <v>854.5</v>
          </cell>
        </row>
        <row r="91">
          <cell r="A91">
            <v>3</v>
          </cell>
          <cell r="B91">
            <v>2019</v>
          </cell>
          <cell r="D91">
            <v>883.88</v>
          </cell>
        </row>
        <row r="92">
          <cell r="A92">
            <v>2</v>
          </cell>
          <cell r="B92">
            <v>2019</v>
          </cell>
          <cell r="D92">
            <v>910</v>
          </cell>
        </row>
        <row r="93">
          <cell r="A93">
            <v>1</v>
          </cell>
          <cell r="B93">
            <v>2019</v>
          </cell>
          <cell r="D93">
            <v>915.75</v>
          </cell>
        </row>
        <row r="94">
          <cell r="A94">
            <v>12</v>
          </cell>
          <cell r="B94">
            <v>2018</v>
          </cell>
          <cell r="D94">
            <v>894</v>
          </cell>
        </row>
        <row r="95">
          <cell r="A95">
            <v>11</v>
          </cell>
          <cell r="B95">
            <v>2018</v>
          </cell>
          <cell r="D95">
            <v>893.25</v>
          </cell>
        </row>
        <row r="96">
          <cell r="A96">
            <v>10</v>
          </cell>
          <cell r="B96">
            <v>2018</v>
          </cell>
          <cell r="D96">
            <v>851.5</v>
          </cell>
        </row>
        <row r="97">
          <cell r="A97">
            <v>9</v>
          </cell>
          <cell r="B97">
            <v>2018</v>
          </cell>
          <cell r="D97">
            <v>844.25</v>
          </cell>
        </row>
        <row r="98">
          <cell r="A98">
            <v>8</v>
          </cell>
          <cell r="B98">
            <v>2018</v>
          </cell>
          <cell r="D98">
            <v>845.5</v>
          </cell>
        </row>
        <row r="99">
          <cell r="A99">
            <v>7</v>
          </cell>
          <cell r="B99">
            <v>2018</v>
          </cell>
          <cell r="D99">
            <v>907.5</v>
          </cell>
        </row>
        <row r="100">
          <cell r="A100">
            <v>6</v>
          </cell>
          <cell r="B100">
            <v>2018</v>
          </cell>
          <cell r="D100">
            <v>862.75</v>
          </cell>
        </row>
        <row r="101">
          <cell r="A101">
            <v>5</v>
          </cell>
          <cell r="B101">
            <v>2018</v>
          </cell>
          <cell r="D101">
            <v>1019.5</v>
          </cell>
        </row>
        <row r="102">
          <cell r="A102">
            <v>4</v>
          </cell>
          <cell r="B102">
            <v>2018</v>
          </cell>
          <cell r="D102">
            <v>1048.5</v>
          </cell>
        </row>
        <row r="103">
          <cell r="A103">
            <v>3</v>
          </cell>
          <cell r="B103">
            <v>2018</v>
          </cell>
          <cell r="D103">
            <v>1044.75</v>
          </cell>
        </row>
        <row r="104">
          <cell r="A104">
            <v>2</v>
          </cell>
          <cell r="B104">
            <v>2018</v>
          </cell>
          <cell r="D104">
            <v>1055</v>
          </cell>
        </row>
        <row r="105">
          <cell r="A105">
            <v>1</v>
          </cell>
          <cell r="B105">
            <v>2018</v>
          </cell>
          <cell r="D105">
            <v>996.75</v>
          </cell>
        </row>
        <row r="106">
          <cell r="A106">
            <v>12</v>
          </cell>
          <cell r="B106">
            <v>2017</v>
          </cell>
          <cell r="D106">
            <v>962.5</v>
          </cell>
        </row>
        <row r="107">
          <cell r="A107">
            <v>11</v>
          </cell>
          <cell r="B107">
            <v>2017</v>
          </cell>
          <cell r="D107">
            <v>985.62</v>
          </cell>
        </row>
        <row r="108">
          <cell r="A108">
            <v>10</v>
          </cell>
          <cell r="B108">
            <v>2017</v>
          </cell>
          <cell r="D108">
            <v>984.62</v>
          </cell>
        </row>
        <row r="109">
          <cell r="A109">
            <v>9</v>
          </cell>
          <cell r="B109">
            <v>2017</v>
          </cell>
          <cell r="D109">
            <v>966.88</v>
          </cell>
        </row>
        <row r="110">
          <cell r="A110">
            <v>8</v>
          </cell>
          <cell r="B110">
            <v>2017</v>
          </cell>
          <cell r="D110">
            <v>946.62</v>
          </cell>
        </row>
        <row r="111">
          <cell r="A111">
            <v>7</v>
          </cell>
          <cell r="B111">
            <v>2017</v>
          </cell>
          <cell r="D111">
            <v>998.38</v>
          </cell>
        </row>
        <row r="112">
          <cell r="A112">
            <v>6</v>
          </cell>
          <cell r="B112">
            <v>2017</v>
          </cell>
          <cell r="D112">
            <v>948.38</v>
          </cell>
        </row>
        <row r="113">
          <cell r="A113">
            <v>5</v>
          </cell>
          <cell r="B113">
            <v>2017</v>
          </cell>
          <cell r="D113">
            <v>915.88</v>
          </cell>
        </row>
        <row r="114">
          <cell r="A114">
            <v>4</v>
          </cell>
          <cell r="B114">
            <v>2017</v>
          </cell>
          <cell r="D114">
            <v>957.12</v>
          </cell>
        </row>
        <row r="115">
          <cell r="A115">
            <v>3</v>
          </cell>
          <cell r="B115">
            <v>2017</v>
          </cell>
          <cell r="D115">
            <v>945.88</v>
          </cell>
        </row>
        <row r="116">
          <cell r="A116">
            <v>2</v>
          </cell>
          <cell r="B116">
            <v>2017</v>
          </cell>
          <cell r="D116">
            <v>1036.3800000000001</v>
          </cell>
        </row>
        <row r="117">
          <cell r="A117">
            <v>1</v>
          </cell>
          <cell r="B117">
            <v>2017</v>
          </cell>
          <cell r="D117">
            <v>1024.5999999999999</v>
          </cell>
        </row>
        <row r="118">
          <cell r="A118">
            <v>12</v>
          </cell>
          <cell r="B118">
            <v>2016</v>
          </cell>
          <cell r="D118">
            <v>1005.1</v>
          </cell>
        </row>
        <row r="119">
          <cell r="A119">
            <v>11</v>
          </cell>
          <cell r="B119">
            <v>2016</v>
          </cell>
          <cell r="D119">
            <v>1033.75</v>
          </cell>
        </row>
        <row r="120">
          <cell r="A120">
            <v>10</v>
          </cell>
          <cell r="B120">
            <v>2016</v>
          </cell>
          <cell r="D120">
            <v>1011.88</v>
          </cell>
        </row>
        <row r="121">
          <cell r="A121">
            <v>9</v>
          </cell>
          <cell r="B121">
            <v>2016</v>
          </cell>
          <cell r="D121">
            <v>955.25</v>
          </cell>
        </row>
        <row r="122">
          <cell r="A122">
            <v>8</v>
          </cell>
          <cell r="B122">
            <v>2016</v>
          </cell>
          <cell r="D122">
            <v>941.88</v>
          </cell>
        </row>
        <row r="123">
          <cell r="A123">
            <v>7</v>
          </cell>
          <cell r="B123">
            <v>2016</v>
          </cell>
          <cell r="D123">
            <v>1019.38</v>
          </cell>
        </row>
        <row r="124">
          <cell r="A124">
            <v>6</v>
          </cell>
          <cell r="B124">
            <v>2016</v>
          </cell>
          <cell r="D124">
            <v>1174.25</v>
          </cell>
        </row>
        <row r="125">
          <cell r="A125">
            <v>5</v>
          </cell>
          <cell r="B125">
            <v>2016</v>
          </cell>
          <cell r="D125">
            <v>1077.8800000000001</v>
          </cell>
        </row>
        <row r="126">
          <cell r="A126">
            <v>4</v>
          </cell>
          <cell r="B126">
            <v>2016</v>
          </cell>
          <cell r="D126">
            <v>1029.8800000000001</v>
          </cell>
        </row>
        <row r="127">
          <cell r="A127">
            <v>3</v>
          </cell>
          <cell r="B127">
            <v>2016</v>
          </cell>
          <cell r="D127">
            <v>912.62</v>
          </cell>
        </row>
        <row r="128">
          <cell r="A128">
            <v>2</v>
          </cell>
          <cell r="B128">
            <v>2016</v>
          </cell>
          <cell r="D128">
            <v>861.12</v>
          </cell>
        </row>
        <row r="129">
          <cell r="A129">
            <v>1</v>
          </cell>
          <cell r="B129">
            <v>2016</v>
          </cell>
          <cell r="D129">
            <v>882.38</v>
          </cell>
        </row>
        <row r="130">
          <cell r="A130">
            <v>12</v>
          </cell>
          <cell r="B130">
            <v>2015</v>
          </cell>
          <cell r="D130">
            <v>863.63</v>
          </cell>
        </row>
        <row r="131">
          <cell r="A131">
            <v>11</v>
          </cell>
          <cell r="B131">
            <v>2015</v>
          </cell>
          <cell r="D131">
            <v>881.63</v>
          </cell>
        </row>
        <row r="132">
          <cell r="A132">
            <v>10</v>
          </cell>
          <cell r="B132">
            <v>2015</v>
          </cell>
          <cell r="D132">
            <v>885.13</v>
          </cell>
        </row>
        <row r="133">
          <cell r="A133">
            <v>9</v>
          </cell>
          <cell r="B133">
            <v>2015</v>
          </cell>
          <cell r="D133">
            <v>891.63</v>
          </cell>
        </row>
        <row r="134">
          <cell r="A134">
            <v>8</v>
          </cell>
          <cell r="B134">
            <v>2015</v>
          </cell>
          <cell r="D134">
            <v>887.13</v>
          </cell>
        </row>
        <row r="135">
          <cell r="A135">
            <v>7</v>
          </cell>
          <cell r="B135">
            <v>2015</v>
          </cell>
          <cell r="D135">
            <v>953.13</v>
          </cell>
        </row>
        <row r="136">
          <cell r="A136">
            <v>6</v>
          </cell>
          <cell r="B136">
            <v>2015</v>
          </cell>
          <cell r="D136">
            <v>1048.25</v>
          </cell>
        </row>
        <row r="137">
          <cell r="A137">
            <v>5</v>
          </cell>
          <cell r="B137">
            <v>2015</v>
          </cell>
          <cell r="D137">
            <v>934.38</v>
          </cell>
        </row>
        <row r="138">
          <cell r="A138">
            <v>4</v>
          </cell>
          <cell r="B138">
            <v>2015</v>
          </cell>
          <cell r="D138">
            <v>977.13</v>
          </cell>
        </row>
        <row r="139">
          <cell r="A139">
            <v>3</v>
          </cell>
          <cell r="B139">
            <v>2015</v>
          </cell>
          <cell r="D139">
            <v>972.63</v>
          </cell>
        </row>
        <row r="140">
          <cell r="A140">
            <v>2</v>
          </cell>
          <cell r="B140">
            <v>2015</v>
          </cell>
          <cell r="D140">
            <v>1030.3800000000001</v>
          </cell>
        </row>
        <row r="141">
          <cell r="A141">
            <v>1</v>
          </cell>
          <cell r="B141">
            <v>2015</v>
          </cell>
          <cell r="D141">
            <v>961.63</v>
          </cell>
        </row>
        <row r="142">
          <cell r="A142">
            <v>12</v>
          </cell>
          <cell r="B142">
            <v>2014</v>
          </cell>
          <cell r="D142">
            <v>1022.88</v>
          </cell>
        </row>
        <row r="143">
          <cell r="A143">
            <v>11</v>
          </cell>
          <cell r="B143">
            <v>2014</v>
          </cell>
          <cell r="D143">
            <v>1014.13</v>
          </cell>
        </row>
        <row r="144">
          <cell r="A144">
            <v>10</v>
          </cell>
          <cell r="B144">
            <v>2014</v>
          </cell>
          <cell r="D144">
            <v>1043.1300000000001</v>
          </cell>
        </row>
        <row r="145">
          <cell r="A145">
            <v>9</v>
          </cell>
          <cell r="B145">
            <v>2014</v>
          </cell>
          <cell r="D145">
            <v>912.38</v>
          </cell>
        </row>
        <row r="146">
          <cell r="A146">
            <v>8</v>
          </cell>
          <cell r="B146">
            <v>2014</v>
          </cell>
          <cell r="D146">
            <v>1024.25</v>
          </cell>
        </row>
        <row r="147">
          <cell r="A147">
            <v>7</v>
          </cell>
          <cell r="B147">
            <v>2014</v>
          </cell>
          <cell r="D147">
            <v>1098.1300000000001</v>
          </cell>
        </row>
        <row r="148">
          <cell r="A148">
            <v>6</v>
          </cell>
          <cell r="B148">
            <v>2014</v>
          </cell>
          <cell r="D148">
            <v>1327.5</v>
          </cell>
        </row>
        <row r="149">
          <cell r="A149">
            <v>5</v>
          </cell>
          <cell r="B149">
            <v>2014</v>
          </cell>
          <cell r="D149">
            <v>1491.13</v>
          </cell>
        </row>
        <row r="150">
          <cell r="A150">
            <v>4</v>
          </cell>
          <cell r="B150">
            <v>2014</v>
          </cell>
          <cell r="D150">
            <v>1511.38</v>
          </cell>
        </row>
        <row r="151">
          <cell r="A151">
            <v>3</v>
          </cell>
          <cell r="B151">
            <v>2014</v>
          </cell>
          <cell r="D151">
            <v>1462.38</v>
          </cell>
        </row>
        <row r="152">
          <cell r="A152">
            <v>2</v>
          </cell>
          <cell r="B152">
            <v>2014</v>
          </cell>
          <cell r="D152">
            <v>1414.13</v>
          </cell>
        </row>
        <row r="153">
          <cell r="A153">
            <v>1</v>
          </cell>
          <cell r="B153">
            <v>2014</v>
          </cell>
          <cell r="D153">
            <v>1283.8800000000001</v>
          </cell>
        </row>
        <row r="154">
          <cell r="A154">
            <v>12</v>
          </cell>
          <cell r="B154">
            <v>2013</v>
          </cell>
          <cell r="D154">
            <v>1289.3800000000001</v>
          </cell>
        </row>
        <row r="155">
          <cell r="A155">
            <v>11</v>
          </cell>
          <cell r="B155">
            <v>2013</v>
          </cell>
          <cell r="D155">
            <v>1337</v>
          </cell>
        </row>
        <row r="156">
          <cell r="A156">
            <v>10</v>
          </cell>
          <cell r="B156">
            <v>2013</v>
          </cell>
          <cell r="D156">
            <v>1265.6300000000001</v>
          </cell>
        </row>
        <row r="157">
          <cell r="A157">
            <v>9</v>
          </cell>
          <cell r="B157">
            <v>2013</v>
          </cell>
          <cell r="D157">
            <v>1281.3800000000001</v>
          </cell>
        </row>
        <row r="158">
          <cell r="A158">
            <v>8</v>
          </cell>
          <cell r="B158">
            <v>2013</v>
          </cell>
          <cell r="D158">
            <v>1356.38</v>
          </cell>
        </row>
        <row r="159">
          <cell r="A159">
            <v>7</v>
          </cell>
          <cell r="B159">
            <v>2013</v>
          </cell>
          <cell r="D159">
            <v>1247.25</v>
          </cell>
        </row>
        <row r="160">
          <cell r="A160">
            <v>6</v>
          </cell>
          <cell r="B160">
            <v>2013</v>
          </cell>
          <cell r="D160">
            <v>1429.38</v>
          </cell>
        </row>
        <row r="161">
          <cell r="A161">
            <v>5</v>
          </cell>
          <cell r="B161">
            <v>2013</v>
          </cell>
          <cell r="D161">
            <v>1510.13</v>
          </cell>
        </row>
        <row r="162">
          <cell r="A162">
            <v>4</v>
          </cell>
          <cell r="B162">
            <v>2013</v>
          </cell>
          <cell r="D162">
            <v>1396.5</v>
          </cell>
        </row>
        <row r="163">
          <cell r="A163">
            <v>3</v>
          </cell>
          <cell r="B163">
            <v>2013</v>
          </cell>
          <cell r="D163">
            <v>1406.88</v>
          </cell>
        </row>
        <row r="164">
          <cell r="A164">
            <v>2</v>
          </cell>
          <cell r="B164">
            <v>2013</v>
          </cell>
          <cell r="D164">
            <v>1448.75</v>
          </cell>
        </row>
        <row r="165">
          <cell r="A165">
            <v>1</v>
          </cell>
          <cell r="B165">
            <v>2013</v>
          </cell>
          <cell r="D165">
            <v>1470.63</v>
          </cell>
        </row>
        <row r="166">
          <cell r="A166">
            <v>12</v>
          </cell>
          <cell r="B166">
            <v>2012</v>
          </cell>
          <cell r="D166">
            <v>1408.5</v>
          </cell>
        </row>
        <row r="167">
          <cell r="A167">
            <v>11</v>
          </cell>
          <cell r="B167">
            <v>2012</v>
          </cell>
          <cell r="D167">
            <v>1440.63</v>
          </cell>
        </row>
        <row r="168">
          <cell r="A168">
            <v>10</v>
          </cell>
          <cell r="B168">
            <v>2012</v>
          </cell>
          <cell r="D168">
            <v>1550.88</v>
          </cell>
        </row>
        <row r="169">
          <cell r="A169">
            <v>9</v>
          </cell>
          <cell r="B169">
            <v>2012</v>
          </cell>
          <cell r="D169">
            <v>1591.88</v>
          </cell>
        </row>
        <row r="170">
          <cell r="A170">
            <v>8</v>
          </cell>
          <cell r="B170">
            <v>2012</v>
          </cell>
          <cell r="D170">
            <v>1754.37</v>
          </cell>
        </row>
        <row r="171">
          <cell r="A171">
            <v>7</v>
          </cell>
          <cell r="B171">
            <v>2012</v>
          </cell>
          <cell r="D171">
            <v>1673.75</v>
          </cell>
        </row>
        <row r="172">
          <cell r="A172">
            <v>6</v>
          </cell>
          <cell r="B172">
            <v>2012</v>
          </cell>
          <cell r="D172">
            <v>1480.88</v>
          </cell>
        </row>
        <row r="173">
          <cell r="A173">
            <v>5</v>
          </cell>
          <cell r="B173">
            <v>2012</v>
          </cell>
          <cell r="D173">
            <v>1344.25</v>
          </cell>
        </row>
        <row r="174">
          <cell r="A174">
            <v>4</v>
          </cell>
          <cell r="B174">
            <v>2012</v>
          </cell>
          <cell r="D174">
            <v>1500.88</v>
          </cell>
        </row>
        <row r="175">
          <cell r="A175">
            <v>3</v>
          </cell>
          <cell r="B175">
            <v>2012</v>
          </cell>
          <cell r="D175">
            <v>1401.88</v>
          </cell>
        </row>
        <row r="176">
          <cell r="A176">
            <v>2</v>
          </cell>
          <cell r="B176">
            <v>2012</v>
          </cell>
          <cell r="D176">
            <v>1319.13</v>
          </cell>
        </row>
        <row r="177">
          <cell r="A177">
            <v>1</v>
          </cell>
          <cell r="B177">
            <v>2012</v>
          </cell>
          <cell r="D177">
            <v>1200.3800000000001</v>
          </cell>
        </row>
        <row r="178">
          <cell r="A178">
            <v>12</v>
          </cell>
          <cell r="B178">
            <v>2011</v>
          </cell>
          <cell r="D178">
            <v>1211.8800000000001</v>
          </cell>
        </row>
        <row r="179">
          <cell r="A179">
            <v>11</v>
          </cell>
          <cell r="B179">
            <v>2011</v>
          </cell>
          <cell r="D179">
            <v>1133.3800000000001</v>
          </cell>
        </row>
        <row r="180">
          <cell r="A180">
            <v>10</v>
          </cell>
          <cell r="B180">
            <v>2011</v>
          </cell>
          <cell r="D180">
            <v>1214</v>
          </cell>
        </row>
        <row r="181">
          <cell r="A181">
            <v>9</v>
          </cell>
          <cell r="B181">
            <v>2011</v>
          </cell>
          <cell r="D181">
            <v>1175.1300000000001</v>
          </cell>
        </row>
        <row r="182">
          <cell r="A182">
            <v>8</v>
          </cell>
          <cell r="B182">
            <v>2011</v>
          </cell>
          <cell r="D182">
            <v>1455.13</v>
          </cell>
        </row>
        <row r="183">
          <cell r="A183">
            <v>7</v>
          </cell>
          <cell r="B183">
            <v>2011</v>
          </cell>
          <cell r="D183">
            <v>1352.75</v>
          </cell>
        </row>
        <row r="184">
          <cell r="A184">
            <v>6</v>
          </cell>
          <cell r="B184">
            <v>2011</v>
          </cell>
          <cell r="D184">
            <v>1303.75</v>
          </cell>
        </row>
        <row r="185">
          <cell r="A185">
            <v>5</v>
          </cell>
          <cell r="B185">
            <v>2011</v>
          </cell>
          <cell r="D185">
            <v>1382.38</v>
          </cell>
        </row>
        <row r="186">
          <cell r="A186">
            <v>4</v>
          </cell>
          <cell r="B186">
            <v>2011</v>
          </cell>
          <cell r="D186">
            <v>1394.88</v>
          </cell>
        </row>
        <row r="187">
          <cell r="A187">
            <v>3</v>
          </cell>
          <cell r="B187">
            <v>2011</v>
          </cell>
          <cell r="D187">
            <v>1416.63</v>
          </cell>
        </row>
        <row r="188">
          <cell r="A188">
            <v>2</v>
          </cell>
          <cell r="B188">
            <v>2011</v>
          </cell>
          <cell r="D188">
            <v>1365.88</v>
          </cell>
        </row>
        <row r="189">
          <cell r="A189">
            <v>1</v>
          </cell>
          <cell r="B189">
            <v>2011</v>
          </cell>
          <cell r="D189">
            <v>1410.88</v>
          </cell>
        </row>
        <row r="190">
          <cell r="A190">
            <v>12</v>
          </cell>
          <cell r="B190">
            <v>2010</v>
          </cell>
          <cell r="D190">
            <v>1403.88</v>
          </cell>
        </row>
        <row r="191">
          <cell r="A191">
            <v>11</v>
          </cell>
          <cell r="B191">
            <v>2010</v>
          </cell>
          <cell r="D191">
            <v>1245.8800000000001</v>
          </cell>
        </row>
        <row r="192">
          <cell r="A192">
            <v>10</v>
          </cell>
          <cell r="B192">
            <v>2010</v>
          </cell>
          <cell r="D192">
            <v>1241.6300000000001</v>
          </cell>
        </row>
        <row r="193">
          <cell r="A193">
            <v>9</v>
          </cell>
          <cell r="B193">
            <v>2010</v>
          </cell>
          <cell r="D193">
            <v>1102.6300000000001</v>
          </cell>
        </row>
        <row r="194">
          <cell r="A194">
            <v>8</v>
          </cell>
          <cell r="B194">
            <v>2010</v>
          </cell>
          <cell r="D194">
            <v>1010.63</v>
          </cell>
        </row>
        <row r="195">
          <cell r="A195">
            <v>7</v>
          </cell>
          <cell r="B195">
            <v>2010</v>
          </cell>
          <cell r="D195">
            <v>1013.88</v>
          </cell>
        </row>
        <row r="196">
          <cell r="A196">
            <v>6</v>
          </cell>
          <cell r="B196">
            <v>2010</v>
          </cell>
          <cell r="D196">
            <v>934.38</v>
          </cell>
        </row>
        <row r="197">
          <cell r="A197">
            <v>5</v>
          </cell>
          <cell r="B197">
            <v>2010</v>
          </cell>
          <cell r="D197">
            <v>940.88</v>
          </cell>
        </row>
        <row r="198">
          <cell r="A198">
            <v>4</v>
          </cell>
          <cell r="B198">
            <v>2010</v>
          </cell>
          <cell r="D198">
            <v>999.75</v>
          </cell>
        </row>
        <row r="199">
          <cell r="A199">
            <v>3</v>
          </cell>
          <cell r="B199">
            <v>2010</v>
          </cell>
          <cell r="D199">
            <v>940.38</v>
          </cell>
        </row>
        <row r="200">
          <cell r="A200">
            <v>2</v>
          </cell>
          <cell r="B200">
            <v>2010</v>
          </cell>
          <cell r="D200">
            <v>962.63</v>
          </cell>
        </row>
        <row r="201">
          <cell r="A201">
            <v>1</v>
          </cell>
          <cell r="B201">
            <v>2010</v>
          </cell>
          <cell r="D201">
            <v>915.5</v>
          </cell>
        </row>
        <row r="202">
          <cell r="A202">
            <v>12</v>
          </cell>
          <cell r="B202">
            <v>2009</v>
          </cell>
          <cell r="D202">
            <v>1049.25</v>
          </cell>
        </row>
        <row r="203">
          <cell r="A203">
            <v>11</v>
          </cell>
          <cell r="B203">
            <v>2009</v>
          </cell>
          <cell r="D203">
            <v>1057.8800000000001</v>
          </cell>
        </row>
        <row r="204">
          <cell r="A204">
            <v>10</v>
          </cell>
          <cell r="B204">
            <v>2009</v>
          </cell>
          <cell r="D204">
            <v>918</v>
          </cell>
        </row>
        <row r="205">
          <cell r="A205">
            <v>9</v>
          </cell>
          <cell r="B205">
            <v>2009</v>
          </cell>
          <cell r="D205">
            <v>927</v>
          </cell>
        </row>
        <row r="206">
          <cell r="A206">
            <v>8</v>
          </cell>
          <cell r="B206">
            <v>2009</v>
          </cell>
          <cell r="D206">
            <v>1100</v>
          </cell>
        </row>
        <row r="207">
          <cell r="A207">
            <v>7</v>
          </cell>
          <cell r="B207">
            <v>2009</v>
          </cell>
          <cell r="D207">
            <v>1134</v>
          </cell>
        </row>
        <row r="208">
          <cell r="A208">
            <v>6</v>
          </cell>
          <cell r="B208">
            <v>2009</v>
          </cell>
          <cell r="D208">
            <v>1226.25</v>
          </cell>
        </row>
        <row r="209">
          <cell r="A209">
            <v>5</v>
          </cell>
          <cell r="B209">
            <v>2009</v>
          </cell>
          <cell r="D209">
            <v>1184</v>
          </cell>
        </row>
        <row r="210">
          <cell r="A210">
            <v>4</v>
          </cell>
          <cell r="B210">
            <v>2009</v>
          </cell>
          <cell r="D210">
            <v>1070</v>
          </cell>
        </row>
        <row r="211">
          <cell r="A211">
            <v>3</v>
          </cell>
          <cell r="B211">
            <v>2009</v>
          </cell>
          <cell r="D211">
            <v>952</v>
          </cell>
        </row>
        <row r="212">
          <cell r="A212">
            <v>2</v>
          </cell>
          <cell r="B212">
            <v>2009</v>
          </cell>
          <cell r="D212">
            <v>874.5</v>
          </cell>
        </row>
        <row r="213">
          <cell r="A213">
            <v>1</v>
          </cell>
          <cell r="B213">
            <v>2009</v>
          </cell>
          <cell r="D213">
            <v>980</v>
          </cell>
        </row>
        <row r="214">
          <cell r="A214">
            <v>12</v>
          </cell>
          <cell r="B214">
            <v>2008</v>
          </cell>
          <cell r="D214">
            <v>972.25</v>
          </cell>
        </row>
        <row r="215">
          <cell r="A215">
            <v>11</v>
          </cell>
          <cell r="B215">
            <v>2008</v>
          </cell>
          <cell r="D215">
            <v>883</v>
          </cell>
        </row>
        <row r="216">
          <cell r="A216">
            <v>10</v>
          </cell>
          <cell r="B216">
            <v>2008</v>
          </cell>
          <cell r="D216">
            <v>925.25</v>
          </cell>
        </row>
        <row r="217">
          <cell r="A217">
            <v>9</v>
          </cell>
          <cell r="B217">
            <v>2008</v>
          </cell>
          <cell r="D217">
            <v>1045</v>
          </cell>
        </row>
        <row r="218">
          <cell r="A218">
            <v>8</v>
          </cell>
          <cell r="B218">
            <v>2008</v>
          </cell>
          <cell r="D218">
            <v>1332</v>
          </cell>
        </row>
        <row r="219">
          <cell r="A219">
            <v>7</v>
          </cell>
          <cell r="B219">
            <v>2008</v>
          </cell>
          <cell r="D219">
            <v>1395.75</v>
          </cell>
        </row>
        <row r="220">
          <cell r="A220">
            <v>6</v>
          </cell>
          <cell r="B220">
            <v>2008</v>
          </cell>
          <cell r="D220">
            <v>1605</v>
          </cell>
        </row>
        <row r="221">
          <cell r="A221">
            <v>5</v>
          </cell>
          <cell r="B221">
            <v>2008</v>
          </cell>
          <cell r="D221">
            <v>1363.5</v>
          </cell>
        </row>
        <row r="222">
          <cell r="A222">
            <v>4</v>
          </cell>
          <cell r="B222">
            <v>2008</v>
          </cell>
          <cell r="D222">
            <v>1301.75</v>
          </cell>
        </row>
        <row r="223">
          <cell r="A223">
            <v>3</v>
          </cell>
          <cell r="B223">
            <v>2008</v>
          </cell>
          <cell r="D223">
            <v>1197.25</v>
          </cell>
        </row>
        <row r="224">
          <cell r="A224">
            <v>2</v>
          </cell>
          <cell r="B224">
            <v>2008</v>
          </cell>
          <cell r="D224">
            <v>1522</v>
          </cell>
        </row>
        <row r="225">
          <cell r="A225">
            <v>1</v>
          </cell>
          <cell r="B225">
            <v>2008</v>
          </cell>
          <cell r="D225">
            <v>1274.5</v>
          </cell>
        </row>
        <row r="226">
          <cell r="A226">
            <v>12</v>
          </cell>
          <cell r="B226">
            <v>2007</v>
          </cell>
          <cell r="D226">
            <v>1199</v>
          </cell>
        </row>
        <row r="227">
          <cell r="A227">
            <v>11</v>
          </cell>
          <cell r="B227">
            <v>2007</v>
          </cell>
          <cell r="D227">
            <v>1080</v>
          </cell>
        </row>
        <row r="228">
          <cell r="A228">
            <v>10</v>
          </cell>
          <cell r="B228">
            <v>2007</v>
          </cell>
          <cell r="D228">
            <v>1010</v>
          </cell>
        </row>
        <row r="229">
          <cell r="A229">
            <v>9</v>
          </cell>
          <cell r="B229">
            <v>2007</v>
          </cell>
          <cell r="D229">
            <v>991.25</v>
          </cell>
        </row>
        <row r="230">
          <cell r="A230">
            <v>8</v>
          </cell>
          <cell r="B230">
            <v>2007</v>
          </cell>
          <cell r="D230">
            <v>868</v>
          </cell>
        </row>
        <row r="231">
          <cell r="A231">
            <v>7</v>
          </cell>
          <cell r="B231">
            <v>2007</v>
          </cell>
          <cell r="D231">
            <v>834</v>
          </cell>
        </row>
        <row r="232">
          <cell r="A232">
            <v>6</v>
          </cell>
          <cell r="B232">
            <v>2007</v>
          </cell>
          <cell r="D232">
            <v>850</v>
          </cell>
        </row>
        <row r="233">
          <cell r="A233">
            <v>5</v>
          </cell>
          <cell r="B233">
            <v>2007</v>
          </cell>
          <cell r="D233">
            <v>806.25</v>
          </cell>
        </row>
        <row r="234">
          <cell r="A234">
            <v>4</v>
          </cell>
          <cell r="B234">
            <v>2007</v>
          </cell>
          <cell r="D234">
            <v>728.5</v>
          </cell>
        </row>
        <row r="235">
          <cell r="A235">
            <v>3</v>
          </cell>
          <cell r="B235">
            <v>2007</v>
          </cell>
          <cell r="D235">
            <v>761.25</v>
          </cell>
        </row>
        <row r="236">
          <cell r="A236">
            <v>2</v>
          </cell>
          <cell r="B236">
            <v>2007</v>
          </cell>
          <cell r="D236">
            <v>773.25</v>
          </cell>
        </row>
        <row r="237">
          <cell r="A237">
            <v>1</v>
          </cell>
          <cell r="B237">
            <v>2007</v>
          </cell>
          <cell r="D237">
            <v>719.5</v>
          </cell>
        </row>
        <row r="238">
          <cell r="A238">
            <v>12</v>
          </cell>
          <cell r="B238">
            <v>2006</v>
          </cell>
          <cell r="D238">
            <v>683.5</v>
          </cell>
        </row>
        <row r="239">
          <cell r="A239">
            <v>11</v>
          </cell>
          <cell r="B239">
            <v>2006</v>
          </cell>
          <cell r="D239">
            <v>685.5</v>
          </cell>
        </row>
        <row r="240">
          <cell r="A240">
            <v>10</v>
          </cell>
          <cell r="B240">
            <v>2006</v>
          </cell>
          <cell r="D240">
            <v>630.25</v>
          </cell>
        </row>
        <row r="241">
          <cell r="A241">
            <v>9</v>
          </cell>
          <cell r="B241">
            <v>2006</v>
          </cell>
          <cell r="D241">
            <v>547.5</v>
          </cell>
        </row>
        <row r="242">
          <cell r="A242">
            <v>8</v>
          </cell>
          <cell r="B242">
            <v>2006</v>
          </cell>
          <cell r="D242">
            <v>542.25</v>
          </cell>
        </row>
        <row r="243">
          <cell r="A243">
            <v>7</v>
          </cell>
          <cell r="B243">
            <v>2006</v>
          </cell>
          <cell r="D243">
            <v>579.5</v>
          </cell>
        </row>
        <row r="244">
          <cell r="A244">
            <v>6</v>
          </cell>
          <cell r="B244">
            <v>2006</v>
          </cell>
          <cell r="D244">
            <v>594.75</v>
          </cell>
        </row>
        <row r="245">
          <cell r="A245">
            <v>5</v>
          </cell>
          <cell r="B245">
            <v>2006</v>
          </cell>
          <cell r="D245">
            <v>579.5</v>
          </cell>
        </row>
        <row r="246">
          <cell r="A246">
            <v>4</v>
          </cell>
          <cell r="B246">
            <v>2006</v>
          </cell>
          <cell r="D246">
            <v>587.25</v>
          </cell>
        </row>
        <row r="247">
          <cell r="A247">
            <v>3</v>
          </cell>
          <cell r="B247">
            <v>2006</v>
          </cell>
          <cell r="D247">
            <v>571.5</v>
          </cell>
        </row>
        <row r="248">
          <cell r="A248">
            <v>2</v>
          </cell>
          <cell r="B248">
            <v>2006</v>
          </cell>
          <cell r="D248">
            <v>580.25</v>
          </cell>
        </row>
        <row r="249">
          <cell r="A249">
            <v>1</v>
          </cell>
          <cell r="B249">
            <v>2006</v>
          </cell>
          <cell r="D249">
            <v>594.25</v>
          </cell>
        </row>
        <row r="250">
          <cell r="A250">
            <v>12</v>
          </cell>
          <cell r="B250">
            <v>2005</v>
          </cell>
          <cell r="D250">
            <v>602</v>
          </cell>
        </row>
        <row r="251">
          <cell r="A251">
            <v>11</v>
          </cell>
          <cell r="B251">
            <v>2005</v>
          </cell>
          <cell r="D251">
            <v>558</v>
          </cell>
        </row>
        <row r="252">
          <cell r="A252">
            <v>10</v>
          </cell>
          <cell r="B252">
            <v>2005</v>
          </cell>
          <cell r="D252">
            <v>564.75</v>
          </cell>
        </row>
        <row r="253">
          <cell r="A253">
            <v>9</v>
          </cell>
          <cell r="B253">
            <v>2005</v>
          </cell>
          <cell r="D253">
            <v>573.25</v>
          </cell>
        </row>
        <row r="254">
          <cell r="A254">
            <v>8</v>
          </cell>
          <cell r="B254">
            <v>2005</v>
          </cell>
          <cell r="D254">
            <v>586.75</v>
          </cell>
        </row>
        <row r="255">
          <cell r="A255">
            <v>7</v>
          </cell>
          <cell r="B255">
            <v>2005</v>
          </cell>
          <cell r="D255">
            <v>671.75</v>
          </cell>
        </row>
        <row r="256">
          <cell r="A256">
            <v>6</v>
          </cell>
          <cell r="B256">
            <v>2005</v>
          </cell>
          <cell r="D256">
            <v>651.75</v>
          </cell>
        </row>
        <row r="257">
          <cell r="A257">
            <v>5</v>
          </cell>
          <cell r="B257">
            <v>2005</v>
          </cell>
          <cell r="D257">
            <v>680.25</v>
          </cell>
        </row>
        <row r="258">
          <cell r="A258">
            <v>4</v>
          </cell>
          <cell r="B258">
            <v>2005</v>
          </cell>
          <cell r="D258">
            <v>619.25</v>
          </cell>
        </row>
        <row r="259">
          <cell r="A259">
            <v>3</v>
          </cell>
          <cell r="B259">
            <v>2005</v>
          </cell>
          <cell r="D259">
            <v>627.5</v>
          </cell>
        </row>
        <row r="260">
          <cell r="A260">
            <v>2</v>
          </cell>
          <cell r="B260">
            <v>2005</v>
          </cell>
          <cell r="D260">
            <v>615.5</v>
          </cell>
        </row>
        <row r="261">
          <cell r="A261">
            <v>1</v>
          </cell>
          <cell r="B261">
            <v>2005</v>
          </cell>
          <cell r="D261">
            <v>514.75</v>
          </cell>
        </row>
        <row r="262">
          <cell r="A262">
            <v>12</v>
          </cell>
          <cell r="B262">
            <v>2004</v>
          </cell>
          <cell r="D262">
            <v>547.75</v>
          </cell>
        </row>
        <row r="263">
          <cell r="A263">
            <v>11</v>
          </cell>
          <cell r="B263">
            <v>2004</v>
          </cell>
          <cell r="D263">
            <v>534.75</v>
          </cell>
        </row>
        <row r="264">
          <cell r="A264">
            <v>10</v>
          </cell>
          <cell r="B264">
            <v>2004</v>
          </cell>
          <cell r="D264">
            <v>527.5</v>
          </cell>
        </row>
        <row r="265">
          <cell r="A265">
            <v>9</v>
          </cell>
          <cell r="B265">
            <v>2004</v>
          </cell>
          <cell r="D265">
            <v>527</v>
          </cell>
        </row>
        <row r="266">
          <cell r="A266">
            <v>8</v>
          </cell>
          <cell r="B266">
            <v>2004</v>
          </cell>
          <cell r="D266">
            <v>627.25</v>
          </cell>
        </row>
        <row r="267">
          <cell r="A267">
            <v>7</v>
          </cell>
          <cell r="B267">
            <v>2004</v>
          </cell>
          <cell r="D267">
            <v>599.5</v>
          </cell>
        </row>
        <row r="268">
          <cell r="A268">
            <v>6</v>
          </cell>
          <cell r="B268">
            <v>2004</v>
          </cell>
          <cell r="D268">
            <v>893</v>
          </cell>
        </row>
        <row r="269">
          <cell r="A269">
            <v>5</v>
          </cell>
          <cell r="B269">
            <v>2004</v>
          </cell>
          <cell r="D269">
            <v>814</v>
          </cell>
        </row>
        <row r="270">
          <cell r="A270">
            <v>4</v>
          </cell>
          <cell r="B270">
            <v>2004</v>
          </cell>
          <cell r="D270">
            <v>1034</v>
          </cell>
        </row>
        <row r="271">
          <cell r="A271">
            <v>3</v>
          </cell>
          <cell r="B271">
            <v>2004</v>
          </cell>
          <cell r="D271">
            <v>995</v>
          </cell>
        </row>
        <row r="272">
          <cell r="A272">
            <v>2</v>
          </cell>
          <cell r="B272">
            <v>2004</v>
          </cell>
          <cell r="D272">
            <v>942.5</v>
          </cell>
        </row>
        <row r="273">
          <cell r="A273">
            <v>1</v>
          </cell>
          <cell r="B273">
            <v>2004</v>
          </cell>
          <cell r="D273">
            <v>819.5</v>
          </cell>
        </row>
        <row r="274">
          <cell r="A274">
            <v>12</v>
          </cell>
          <cell r="B274">
            <v>2003</v>
          </cell>
          <cell r="D274">
            <v>789</v>
          </cell>
        </row>
        <row r="275">
          <cell r="A275">
            <v>11</v>
          </cell>
          <cell r="B275">
            <v>2003</v>
          </cell>
          <cell r="D275">
            <v>756.25</v>
          </cell>
        </row>
        <row r="276">
          <cell r="A276">
            <v>10</v>
          </cell>
          <cell r="B276">
            <v>2003</v>
          </cell>
          <cell r="D276">
            <v>794.25</v>
          </cell>
        </row>
        <row r="277">
          <cell r="A277">
            <v>9</v>
          </cell>
          <cell r="B277">
            <v>2003</v>
          </cell>
          <cell r="D277">
            <v>677.25</v>
          </cell>
        </row>
        <row r="278">
          <cell r="A278">
            <v>8</v>
          </cell>
          <cell r="B278">
            <v>2003</v>
          </cell>
          <cell r="D278">
            <v>595</v>
          </cell>
        </row>
        <row r="279">
          <cell r="A279">
            <v>7</v>
          </cell>
          <cell r="B279">
            <v>2003</v>
          </cell>
          <cell r="D279">
            <v>532.5</v>
          </cell>
        </row>
        <row r="280">
          <cell r="A280">
            <v>6</v>
          </cell>
          <cell r="B280">
            <v>2003</v>
          </cell>
          <cell r="D280">
            <v>621.25</v>
          </cell>
        </row>
        <row r="281">
          <cell r="A281">
            <v>5</v>
          </cell>
          <cell r="B281">
            <v>2003</v>
          </cell>
          <cell r="D281">
            <v>624.5</v>
          </cell>
        </row>
        <row r="282">
          <cell r="A282">
            <v>4</v>
          </cell>
          <cell r="B282">
            <v>2003</v>
          </cell>
          <cell r="D282">
            <v>623.5</v>
          </cell>
        </row>
        <row r="283">
          <cell r="A283">
            <v>3</v>
          </cell>
          <cell r="B283">
            <v>2003</v>
          </cell>
          <cell r="D283">
            <v>574.5</v>
          </cell>
        </row>
        <row r="284">
          <cell r="A284">
            <v>2</v>
          </cell>
          <cell r="B284">
            <v>2003</v>
          </cell>
          <cell r="D284">
            <v>577</v>
          </cell>
        </row>
        <row r="285">
          <cell r="A285">
            <v>1</v>
          </cell>
          <cell r="B285">
            <v>2003</v>
          </cell>
          <cell r="D285">
            <v>564</v>
          </cell>
        </row>
        <row r="286">
          <cell r="A286">
            <v>12</v>
          </cell>
          <cell r="B286">
            <v>2002</v>
          </cell>
          <cell r="D286">
            <v>569.5</v>
          </cell>
        </row>
        <row r="287">
          <cell r="A287">
            <v>11</v>
          </cell>
          <cell r="B287">
            <v>2002</v>
          </cell>
          <cell r="D287">
            <v>578.75</v>
          </cell>
        </row>
        <row r="288">
          <cell r="A288">
            <v>10</v>
          </cell>
          <cell r="B288">
            <v>2002</v>
          </cell>
          <cell r="D288">
            <v>565.25</v>
          </cell>
        </row>
        <row r="289">
          <cell r="A289">
            <v>9</v>
          </cell>
          <cell r="B289">
            <v>2002</v>
          </cell>
          <cell r="D289">
            <v>545.75</v>
          </cell>
        </row>
        <row r="290">
          <cell r="A290">
            <v>8</v>
          </cell>
          <cell r="B290">
            <v>2002</v>
          </cell>
          <cell r="D290">
            <v>559</v>
          </cell>
        </row>
        <row r="291">
          <cell r="A291">
            <v>7</v>
          </cell>
          <cell r="B291">
            <v>2002</v>
          </cell>
          <cell r="D291">
            <v>567.5</v>
          </cell>
        </row>
        <row r="292">
          <cell r="A292">
            <v>6</v>
          </cell>
          <cell r="B292">
            <v>2002</v>
          </cell>
          <cell r="D292">
            <v>536.5</v>
          </cell>
        </row>
        <row r="293">
          <cell r="A293">
            <v>5</v>
          </cell>
          <cell r="B293">
            <v>2002</v>
          </cell>
          <cell r="D293">
            <v>508.75</v>
          </cell>
        </row>
        <row r="294">
          <cell r="A294">
            <v>4</v>
          </cell>
          <cell r="B294">
            <v>2002</v>
          </cell>
          <cell r="D294">
            <v>462.25</v>
          </cell>
        </row>
        <row r="295">
          <cell r="A295">
            <v>3</v>
          </cell>
          <cell r="B295">
            <v>2002</v>
          </cell>
          <cell r="D295">
            <v>476.25</v>
          </cell>
        </row>
        <row r="296">
          <cell r="A296">
            <v>2</v>
          </cell>
          <cell r="B296">
            <v>2002</v>
          </cell>
          <cell r="D296">
            <v>435.75</v>
          </cell>
        </row>
        <row r="297">
          <cell r="A297">
            <v>1</v>
          </cell>
          <cell r="B297">
            <v>2002</v>
          </cell>
          <cell r="D297">
            <v>430.25</v>
          </cell>
        </row>
        <row r="298">
          <cell r="A298">
            <v>12</v>
          </cell>
          <cell r="B298">
            <v>2001</v>
          </cell>
          <cell r="D298">
            <v>421</v>
          </cell>
        </row>
        <row r="299">
          <cell r="A299">
            <v>11</v>
          </cell>
          <cell r="B299">
            <v>2001</v>
          </cell>
          <cell r="D299">
            <v>444.5</v>
          </cell>
        </row>
        <row r="300">
          <cell r="A300">
            <v>10</v>
          </cell>
          <cell r="B300">
            <v>2001</v>
          </cell>
          <cell r="D300">
            <v>428.5</v>
          </cell>
        </row>
        <row r="301">
          <cell r="A301">
            <v>9</v>
          </cell>
          <cell r="B301">
            <v>2001</v>
          </cell>
          <cell r="D301">
            <v>451.25</v>
          </cell>
        </row>
        <row r="302">
          <cell r="A302">
            <v>8</v>
          </cell>
          <cell r="B302">
            <v>2001</v>
          </cell>
          <cell r="D302">
            <v>479.5</v>
          </cell>
        </row>
        <row r="303">
          <cell r="A303">
            <v>7</v>
          </cell>
          <cell r="B303">
            <v>2001</v>
          </cell>
          <cell r="D303">
            <v>512.75</v>
          </cell>
        </row>
        <row r="304">
          <cell r="A304">
            <v>6</v>
          </cell>
          <cell r="B304">
            <v>2001</v>
          </cell>
          <cell r="D304">
            <v>482.5</v>
          </cell>
        </row>
        <row r="305">
          <cell r="A305">
            <v>5</v>
          </cell>
          <cell r="B305">
            <v>2001</v>
          </cell>
          <cell r="D305">
            <v>451</v>
          </cell>
        </row>
        <row r="306">
          <cell r="A306">
            <v>4</v>
          </cell>
          <cell r="B306">
            <v>2001</v>
          </cell>
          <cell r="D306">
            <v>434.25</v>
          </cell>
        </row>
        <row r="307">
          <cell r="A307">
            <v>3</v>
          </cell>
          <cell r="B307">
            <v>2001</v>
          </cell>
          <cell r="D307">
            <v>428.5</v>
          </cell>
        </row>
        <row r="308">
          <cell r="A308">
            <v>2</v>
          </cell>
          <cell r="B308">
            <v>2001</v>
          </cell>
          <cell r="D308">
            <v>453.5</v>
          </cell>
        </row>
        <row r="309">
          <cell r="A309">
            <v>1</v>
          </cell>
          <cell r="B309">
            <v>2001</v>
          </cell>
          <cell r="D309">
            <v>459.5</v>
          </cell>
        </row>
        <row r="310">
          <cell r="A310">
            <v>12</v>
          </cell>
          <cell r="B310">
            <v>2000</v>
          </cell>
          <cell r="D310">
            <v>499.5</v>
          </cell>
        </row>
        <row r="311">
          <cell r="A311">
            <v>11</v>
          </cell>
          <cell r="B311">
            <v>2000</v>
          </cell>
          <cell r="D311">
            <v>506</v>
          </cell>
        </row>
        <row r="312">
          <cell r="A312">
            <v>10</v>
          </cell>
          <cell r="B312">
            <v>2000</v>
          </cell>
          <cell r="D312">
            <v>459.75</v>
          </cell>
        </row>
        <row r="313">
          <cell r="A313">
            <v>9</v>
          </cell>
          <cell r="B313">
            <v>2000</v>
          </cell>
          <cell r="D313">
            <v>490.5</v>
          </cell>
        </row>
        <row r="314">
          <cell r="A314">
            <v>8</v>
          </cell>
          <cell r="B314">
            <v>2000</v>
          </cell>
          <cell r="D314">
            <v>494.75</v>
          </cell>
        </row>
        <row r="315">
          <cell r="A315">
            <v>7</v>
          </cell>
          <cell r="B315">
            <v>2000</v>
          </cell>
          <cell r="D315">
            <v>446</v>
          </cell>
        </row>
        <row r="316">
          <cell r="A316">
            <v>6</v>
          </cell>
          <cell r="B316">
            <v>2000</v>
          </cell>
          <cell r="D316">
            <v>477.5</v>
          </cell>
        </row>
        <row r="317">
          <cell r="A317">
            <v>5</v>
          </cell>
          <cell r="B317">
            <v>2000</v>
          </cell>
          <cell r="D317">
            <v>517.5</v>
          </cell>
        </row>
        <row r="318">
          <cell r="A318">
            <v>4</v>
          </cell>
          <cell r="B318">
            <v>2000</v>
          </cell>
          <cell r="D318">
            <v>526.5</v>
          </cell>
        </row>
        <row r="319">
          <cell r="A319">
            <v>3</v>
          </cell>
          <cell r="B319">
            <v>2000</v>
          </cell>
          <cell r="D319">
            <v>545.5</v>
          </cell>
        </row>
        <row r="320">
          <cell r="A320">
            <v>2</v>
          </cell>
          <cell r="B320">
            <v>2000</v>
          </cell>
          <cell r="D320">
            <v>501.25</v>
          </cell>
        </row>
        <row r="321">
          <cell r="A321">
            <v>1</v>
          </cell>
          <cell r="B321">
            <v>2000</v>
          </cell>
          <cell r="D321">
            <v>508</v>
          </cell>
        </row>
      </sheetData>
      <sheetData sheetId="11">
        <row r="1">
          <cell r="A1">
            <v>9</v>
          </cell>
          <cell r="B1">
            <v>2026</v>
          </cell>
          <cell r="D1">
            <v>529.1</v>
          </cell>
        </row>
        <row r="2">
          <cell r="A2">
            <v>8</v>
          </cell>
          <cell r="B2">
            <v>2026</v>
          </cell>
          <cell r="D2">
            <v>537.75</v>
          </cell>
        </row>
        <row r="3">
          <cell r="A3">
            <v>7</v>
          </cell>
          <cell r="B3">
            <v>2026</v>
          </cell>
          <cell r="D3">
            <v>464</v>
          </cell>
        </row>
        <row r="4">
          <cell r="A4">
            <v>6</v>
          </cell>
          <cell r="B4">
            <v>2026</v>
          </cell>
          <cell r="D4">
            <v>436</v>
          </cell>
        </row>
        <row r="5">
          <cell r="A5">
            <v>5</v>
          </cell>
          <cell r="B5">
            <v>2026</v>
          </cell>
          <cell r="D5">
            <v>446.75</v>
          </cell>
        </row>
        <row r="6">
          <cell r="A6">
            <v>4</v>
          </cell>
          <cell r="B6">
            <v>2026</v>
          </cell>
          <cell r="D6">
            <v>474.75</v>
          </cell>
        </row>
        <row r="7">
          <cell r="A7">
            <v>3</v>
          </cell>
          <cell r="B7">
            <v>2026</v>
          </cell>
          <cell r="D7">
            <v>468.25</v>
          </cell>
        </row>
        <row r="8">
          <cell r="A8">
            <v>2</v>
          </cell>
          <cell r="B8">
            <v>2026</v>
          </cell>
          <cell r="D8">
            <v>438.75</v>
          </cell>
        </row>
        <row r="9">
          <cell r="A9">
            <v>1</v>
          </cell>
          <cell r="B9">
            <v>2026</v>
          </cell>
          <cell r="D9">
            <v>428.25</v>
          </cell>
        </row>
        <row r="10">
          <cell r="A10">
            <v>12</v>
          </cell>
          <cell r="B10">
            <v>2025</v>
          </cell>
          <cell r="D10">
            <v>448.25</v>
          </cell>
        </row>
        <row r="11">
          <cell r="A11">
            <v>11</v>
          </cell>
          <cell r="B11">
            <v>2025</v>
          </cell>
          <cell r="D11">
            <v>435.5</v>
          </cell>
        </row>
        <row r="12">
          <cell r="A12">
            <v>10</v>
          </cell>
          <cell r="B12">
            <v>2025</v>
          </cell>
          <cell r="D12">
            <v>444</v>
          </cell>
        </row>
        <row r="13">
          <cell r="A13">
            <v>9</v>
          </cell>
          <cell r="B13">
            <v>2025</v>
          </cell>
          <cell r="D13">
            <v>415.5</v>
          </cell>
        </row>
        <row r="14">
          <cell r="A14">
            <v>8</v>
          </cell>
          <cell r="B14">
            <v>2025</v>
          </cell>
          <cell r="D14">
            <v>420.25</v>
          </cell>
        </row>
        <row r="15">
          <cell r="A15">
            <v>7</v>
          </cell>
          <cell r="B15">
            <v>2025</v>
          </cell>
          <cell r="D15">
            <v>394</v>
          </cell>
        </row>
        <row r="16">
          <cell r="A16">
            <v>6</v>
          </cell>
          <cell r="B16">
            <v>2025</v>
          </cell>
          <cell r="D16">
            <v>420.5</v>
          </cell>
        </row>
        <row r="17">
          <cell r="A17">
            <v>5</v>
          </cell>
          <cell r="B17">
            <v>2025</v>
          </cell>
          <cell r="D17">
            <v>423.25</v>
          </cell>
        </row>
        <row r="18">
          <cell r="A18">
            <v>4</v>
          </cell>
          <cell r="B18">
            <v>2025</v>
          </cell>
          <cell r="D18">
            <v>475.5</v>
          </cell>
        </row>
        <row r="19">
          <cell r="A19">
            <v>3</v>
          </cell>
          <cell r="B19">
            <v>2025</v>
          </cell>
          <cell r="D19">
            <v>463.25</v>
          </cell>
        </row>
        <row r="20">
          <cell r="A20">
            <v>2</v>
          </cell>
          <cell r="B20">
            <v>2025</v>
          </cell>
          <cell r="D20">
            <v>453.5</v>
          </cell>
        </row>
        <row r="21">
          <cell r="A21">
            <v>1</v>
          </cell>
          <cell r="B21">
            <v>2025</v>
          </cell>
          <cell r="D21">
            <v>493</v>
          </cell>
        </row>
        <row r="22">
          <cell r="A22">
            <v>12</v>
          </cell>
          <cell r="B22">
            <v>2024</v>
          </cell>
          <cell r="D22">
            <v>458.5</v>
          </cell>
        </row>
        <row r="23">
          <cell r="A23">
            <v>11</v>
          </cell>
          <cell r="B23">
            <v>2024</v>
          </cell>
          <cell r="D23">
            <v>433</v>
          </cell>
        </row>
        <row r="24">
          <cell r="A24">
            <v>10</v>
          </cell>
          <cell r="B24">
            <v>2024</v>
          </cell>
          <cell r="D24">
            <v>410.75</v>
          </cell>
        </row>
        <row r="25">
          <cell r="A25">
            <v>9</v>
          </cell>
          <cell r="B25">
            <v>2024</v>
          </cell>
          <cell r="D25">
            <v>424.75</v>
          </cell>
        </row>
        <row r="26">
          <cell r="A26">
            <v>8</v>
          </cell>
          <cell r="B26">
            <v>2024</v>
          </cell>
          <cell r="D26">
            <v>401</v>
          </cell>
        </row>
        <row r="27">
          <cell r="A27">
            <v>7</v>
          </cell>
          <cell r="B27">
            <v>2024</v>
          </cell>
          <cell r="D27">
            <v>382.75</v>
          </cell>
        </row>
        <row r="28">
          <cell r="A28">
            <v>6</v>
          </cell>
          <cell r="B28">
            <v>2024</v>
          </cell>
          <cell r="D28">
            <v>397.25</v>
          </cell>
        </row>
        <row r="29">
          <cell r="A29">
            <v>5</v>
          </cell>
          <cell r="B29">
            <v>2024</v>
          </cell>
          <cell r="D29">
            <v>454</v>
          </cell>
        </row>
        <row r="30">
          <cell r="A30">
            <v>4</v>
          </cell>
          <cell r="B30">
            <v>2024</v>
          </cell>
          <cell r="D30">
            <v>446.75</v>
          </cell>
        </row>
        <row r="31">
          <cell r="A31">
            <v>3</v>
          </cell>
          <cell r="B31">
            <v>2024</v>
          </cell>
          <cell r="D31">
            <v>454.5</v>
          </cell>
        </row>
        <row r="32">
          <cell r="A32">
            <v>2</v>
          </cell>
          <cell r="B32">
            <v>2024</v>
          </cell>
          <cell r="D32">
            <v>415.75</v>
          </cell>
        </row>
        <row r="33">
          <cell r="A33">
            <v>1</v>
          </cell>
          <cell r="B33">
            <v>2024</v>
          </cell>
          <cell r="D33">
            <v>458.5</v>
          </cell>
        </row>
        <row r="34">
          <cell r="A34">
            <v>12</v>
          </cell>
          <cell r="B34">
            <v>2023</v>
          </cell>
          <cell r="D34">
            <v>471.25</v>
          </cell>
        </row>
        <row r="35">
          <cell r="A35">
            <v>11</v>
          </cell>
          <cell r="B35">
            <v>2023</v>
          </cell>
          <cell r="D35">
            <v>461.75</v>
          </cell>
        </row>
        <row r="36">
          <cell r="A36">
            <v>10</v>
          </cell>
          <cell r="B36">
            <v>2023</v>
          </cell>
          <cell r="D36">
            <v>478.75</v>
          </cell>
        </row>
        <row r="37">
          <cell r="A37">
            <v>9</v>
          </cell>
          <cell r="B37">
            <v>2023</v>
          </cell>
          <cell r="D37">
            <v>476.75</v>
          </cell>
        </row>
        <row r="38">
          <cell r="A38">
            <v>8</v>
          </cell>
          <cell r="B38">
            <v>2023</v>
          </cell>
          <cell r="D38">
            <v>461</v>
          </cell>
        </row>
        <row r="39">
          <cell r="A39">
            <v>7</v>
          </cell>
          <cell r="B39">
            <v>2023</v>
          </cell>
          <cell r="D39">
            <v>504</v>
          </cell>
        </row>
        <row r="40">
          <cell r="A40">
            <v>6</v>
          </cell>
          <cell r="B40">
            <v>2023</v>
          </cell>
          <cell r="D40">
            <v>554.5</v>
          </cell>
        </row>
        <row r="41">
          <cell r="A41">
            <v>5</v>
          </cell>
          <cell r="B41">
            <v>2023</v>
          </cell>
          <cell r="D41">
            <v>593</v>
          </cell>
        </row>
        <row r="42">
          <cell r="A42">
            <v>4</v>
          </cell>
          <cell r="B42">
            <v>2023</v>
          </cell>
          <cell r="D42">
            <v>636</v>
          </cell>
        </row>
        <row r="43">
          <cell r="A43">
            <v>3</v>
          </cell>
          <cell r="B43">
            <v>2023</v>
          </cell>
          <cell r="D43">
            <v>660.5</v>
          </cell>
        </row>
        <row r="44">
          <cell r="A44">
            <v>2</v>
          </cell>
          <cell r="B44">
            <v>2023</v>
          </cell>
          <cell r="D44">
            <v>629.5</v>
          </cell>
        </row>
        <row r="45">
          <cell r="A45">
            <v>1</v>
          </cell>
          <cell r="B45">
            <v>2023</v>
          </cell>
          <cell r="D45">
            <v>679.75</v>
          </cell>
        </row>
        <row r="46">
          <cell r="A46">
            <v>12</v>
          </cell>
          <cell r="B46">
            <v>2022</v>
          </cell>
          <cell r="D46">
            <v>678.5</v>
          </cell>
        </row>
        <row r="47">
          <cell r="A47">
            <v>11</v>
          </cell>
          <cell r="B47">
            <v>2022</v>
          </cell>
          <cell r="D47">
            <v>662</v>
          </cell>
        </row>
        <row r="48">
          <cell r="A48">
            <v>10</v>
          </cell>
          <cell r="B48">
            <v>2022</v>
          </cell>
          <cell r="D48">
            <v>691.5</v>
          </cell>
        </row>
        <row r="49">
          <cell r="A49">
            <v>9</v>
          </cell>
          <cell r="B49">
            <v>2022</v>
          </cell>
          <cell r="D49">
            <v>677.5</v>
          </cell>
        </row>
        <row r="50">
          <cell r="A50">
            <v>8</v>
          </cell>
          <cell r="B50">
            <v>2022</v>
          </cell>
          <cell r="D50">
            <v>673.75</v>
          </cell>
        </row>
        <row r="51">
          <cell r="A51">
            <v>7</v>
          </cell>
          <cell r="B51">
            <v>2022</v>
          </cell>
          <cell r="D51">
            <v>616.25</v>
          </cell>
        </row>
        <row r="52">
          <cell r="A52">
            <v>6</v>
          </cell>
          <cell r="B52">
            <v>2022</v>
          </cell>
          <cell r="D52">
            <v>743.75</v>
          </cell>
        </row>
        <row r="53">
          <cell r="A53">
            <v>5</v>
          </cell>
          <cell r="B53">
            <v>2022</v>
          </cell>
          <cell r="D53">
            <v>753.5</v>
          </cell>
        </row>
        <row r="54">
          <cell r="A54">
            <v>4</v>
          </cell>
          <cell r="B54">
            <v>2022</v>
          </cell>
          <cell r="D54">
            <v>818.25</v>
          </cell>
        </row>
        <row r="55">
          <cell r="A55">
            <v>3</v>
          </cell>
          <cell r="B55">
            <v>2022</v>
          </cell>
          <cell r="D55">
            <v>748.75</v>
          </cell>
        </row>
        <row r="56">
          <cell r="A56">
            <v>2</v>
          </cell>
          <cell r="B56">
            <v>2022</v>
          </cell>
          <cell r="D56">
            <v>697.5</v>
          </cell>
        </row>
        <row r="57">
          <cell r="A57">
            <v>1</v>
          </cell>
          <cell r="B57">
            <v>2022</v>
          </cell>
          <cell r="D57">
            <v>626</v>
          </cell>
        </row>
        <row r="58">
          <cell r="A58">
            <v>12</v>
          </cell>
          <cell r="B58">
            <v>2021</v>
          </cell>
          <cell r="D58">
            <v>593.25</v>
          </cell>
        </row>
        <row r="59">
          <cell r="A59">
            <v>11</v>
          </cell>
          <cell r="B59">
            <v>2021</v>
          </cell>
          <cell r="D59">
            <v>567</v>
          </cell>
        </row>
        <row r="60">
          <cell r="A60">
            <v>10</v>
          </cell>
          <cell r="B60">
            <v>2021</v>
          </cell>
          <cell r="D60">
            <v>568.25</v>
          </cell>
        </row>
        <row r="61">
          <cell r="A61">
            <v>9</v>
          </cell>
          <cell r="B61">
            <v>2021</v>
          </cell>
          <cell r="D61">
            <v>536.75</v>
          </cell>
        </row>
        <row r="62">
          <cell r="A62">
            <v>8</v>
          </cell>
          <cell r="B62">
            <v>2021</v>
          </cell>
          <cell r="D62">
            <v>534</v>
          </cell>
        </row>
        <row r="63">
          <cell r="A63">
            <v>7</v>
          </cell>
          <cell r="B63">
            <v>2021</v>
          </cell>
          <cell r="D63">
            <v>547</v>
          </cell>
        </row>
        <row r="64">
          <cell r="A64">
            <v>6</v>
          </cell>
          <cell r="B64">
            <v>2021</v>
          </cell>
          <cell r="D64">
            <v>720</v>
          </cell>
        </row>
        <row r="65">
          <cell r="A65">
            <v>5</v>
          </cell>
          <cell r="B65">
            <v>2021</v>
          </cell>
          <cell r="D65">
            <v>656.75</v>
          </cell>
        </row>
        <row r="66">
          <cell r="A66">
            <v>4</v>
          </cell>
          <cell r="B66">
            <v>2021</v>
          </cell>
          <cell r="D66">
            <v>740</v>
          </cell>
        </row>
        <row r="67">
          <cell r="A67">
            <v>3</v>
          </cell>
          <cell r="B67">
            <v>2021</v>
          </cell>
          <cell r="D67">
            <v>564.25</v>
          </cell>
        </row>
        <row r="68">
          <cell r="A68">
            <v>2</v>
          </cell>
          <cell r="B68">
            <v>2021</v>
          </cell>
          <cell r="D68">
            <v>555.5</v>
          </cell>
        </row>
        <row r="69">
          <cell r="A69">
            <v>1</v>
          </cell>
          <cell r="B69">
            <v>2021</v>
          </cell>
          <cell r="D69">
            <v>547</v>
          </cell>
        </row>
        <row r="70">
          <cell r="A70">
            <v>12</v>
          </cell>
          <cell r="B70">
            <v>2020</v>
          </cell>
          <cell r="D70">
            <v>484</v>
          </cell>
        </row>
        <row r="71">
          <cell r="A71">
            <v>11</v>
          </cell>
          <cell r="B71">
            <v>2020</v>
          </cell>
          <cell r="D71">
            <v>419.75</v>
          </cell>
        </row>
        <row r="72">
          <cell r="A72">
            <v>10</v>
          </cell>
          <cell r="B72">
            <v>2020</v>
          </cell>
          <cell r="D72">
            <v>398.5</v>
          </cell>
        </row>
        <row r="73">
          <cell r="A73">
            <v>9</v>
          </cell>
          <cell r="B73">
            <v>2020</v>
          </cell>
          <cell r="D73">
            <v>379</v>
          </cell>
        </row>
        <row r="74">
          <cell r="A74">
            <v>8</v>
          </cell>
          <cell r="B74">
            <v>2020</v>
          </cell>
          <cell r="D74">
            <v>348.5</v>
          </cell>
        </row>
        <row r="75">
          <cell r="A75">
            <v>7</v>
          </cell>
          <cell r="B75">
            <v>2020</v>
          </cell>
          <cell r="D75">
            <v>316</v>
          </cell>
        </row>
        <row r="76">
          <cell r="A76">
            <v>6</v>
          </cell>
          <cell r="B76">
            <v>2020</v>
          </cell>
          <cell r="D76">
            <v>338.5</v>
          </cell>
        </row>
        <row r="77">
          <cell r="A77">
            <v>5</v>
          </cell>
          <cell r="B77">
            <v>2020</v>
          </cell>
          <cell r="D77">
            <v>325.75</v>
          </cell>
        </row>
        <row r="78">
          <cell r="A78">
            <v>4</v>
          </cell>
          <cell r="B78">
            <v>2020</v>
          </cell>
          <cell r="D78">
            <v>311.5</v>
          </cell>
        </row>
        <row r="79">
          <cell r="A79">
            <v>3</v>
          </cell>
          <cell r="B79">
            <v>2020</v>
          </cell>
          <cell r="D79">
            <v>340.75</v>
          </cell>
        </row>
        <row r="80">
          <cell r="A80">
            <v>2</v>
          </cell>
          <cell r="B80">
            <v>2020</v>
          </cell>
          <cell r="D80">
            <v>366.5</v>
          </cell>
        </row>
        <row r="81">
          <cell r="A81">
            <v>1</v>
          </cell>
          <cell r="B81">
            <v>2020</v>
          </cell>
          <cell r="D81">
            <v>381.25</v>
          </cell>
        </row>
        <row r="82">
          <cell r="A82">
            <v>12</v>
          </cell>
          <cell r="B82">
            <v>2019</v>
          </cell>
          <cell r="D82">
            <v>387.75</v>
          </cell>
        </row>
        <row r="83">
          <cell r="A83">
            <v>11</v>
          </cell>
          <cell r="B83">
            <v>2019</v>
          </cell>
          <cell r="D83">
            <v>371.25</v>
          </cell>
        </row>
        <row r="84">
          <cell r="A84">
            <v>10</v>
          </cell>
          <cell r="B84">
            <v>2019</v>
          </cell>
          <cell r="D84">
            <v>390</v>
          </cell>
        </row>
        <row r="85">
          <cell r="A85">
            <v>9</v>
          </cell>
          <cell r="B85">
            <v>2019</v>
          </cell>
          <cell r="D85">
            <v>388</v>
          </cell>
        </row>
        <row r="86">
          <cell r="A86">
            <v>8</v>
          </cell>
          <cell r="B86">
            <v>2019</v>
          </cell>
          <cell r="D86">
            <v>358</v>
          </cell>
        </row>
        <row r="87">
          <cell r="A87">
            <v>7</v>
          </cell>
          <cell r="B87">
            <v>2019</v>
          </cell>
          <cell r="D87">
            <v>400.25</v>
          </cell>
        </row>
        <row r="88">
          <cell r="A88">
            <v>6</v>
          </cell>
          <cell r="B88">
            <v>2019</v>
          </cell>
          <cell r="D88">
            <v>420.25</v>
          </cell>
        </row>
        <row r="89">
          <cell r="A89">
            <v>5</v>
          </cell>
          <cell r="B89">
            <v>2019</v>
          </cell>
          <cell r="D89">
            <v>427</v>
          </cell>
        </row>
        <row r="90">
          <cell r="A90">
            <v>4</v>
          </cell>
          <cell r="B90">
            <v>2019</v>
          </cell>
          <cell r="D90">
            <v>353.25</v>
          </cell>
        </row>
        <row r="91">
          <cell r="A91">
            <v>3</v>
          </cell>
          <cell r="B91">
            <v>2019</v>
          </cell>
          <cell r="D91">
            <v>356.5</v>
          </cell>
        </row>
        <row r="92">
          <cell r="A92">
            <v>2</v>
          </cell>
          <cell r="B92">
            <v>2019</v>
          </cell>
          <cell r="D92">
            <v>362</v>
          </cell>
        </row>
        <row r="93">
          <cell r="A93">
            <v>1</v>
          </cell>
          <cell r="B93">
            <v>2019</v>
          </cell>
          <cell r="D93">
            <v>376.5</v>
          </cell>
        </row>
        <row r="94">
          <cell r="A94">
            <v>12</v>
          </cell>
          <cell r="B94">
            <v>2018</v>
          </cell>
          <cell r="D94">
            <v>375</v>
          </cell>
        </row>
        <row r="95">
          <cell r="A95">
            <v>11</v>
          </cell>
          <cell r="B95">
            <v>2018</v>
          </cell>
          <cell r="D95">
            <v>366.5</v>
          </cell>
        </row>
        <row r="96">
          <cell r="A96">
            <v>10</v>
          </cell>
          <cell r="B96">
            <v>2018</v>
          </cell>
          <cell r="D96">
            <v>363.25</v>
          </cell>
        </row>
        <row r="97">
          <cell r="A97">
            <v>9</v>
          </cell>
          <cell r="B97">
            <v>2018</v>
          </cell>
          <cell r="D97">
            <v>356.25</v>
          </cell>
        </row>
        <row r="98">
          <cell r="A98">
            <v>8</v>
          </cell>
          <cell r="B98">
            <v>2018</v>
          </cell>
          <cell r="D98">
            <v>351</v>
          </cell>
        </row>
        <row r="99">
          <cell r="A99">
            <v>7</v>
          </cell>
          <cell r="B99">
            <v>2018</v>
          </cell>
          <cell r="D99">
            <v>372.25</v>
          </cell>
        </row>
        <row r="100">
          <cell r="A100">
            <v>6</v>
          </cell>
          <cell r="B100">
            <v>2018</v>
          </cell>
          <cell r="D100">
            <v>350.25</v>
          </cell>
        </row>
        <row r="101">
          <cell r="A101">
            <v>5</v>
          </cell>
          <cell r="B101">
            <v>2018</v>
          </cell>
          <cell r="D101">
            <v>394</v>
          </cell>
        </row>
        <row r="102">
          <cell r="A102">
            <v>4</v>
          </cell>
          <cell r="B102">
            <v>2018</v>
          </cell>
          <cell r="D102">
            <v>392.5</v>
          </cell>
        </row>
        <row r="103">
          <cell r="A103">
            <v>3</v>
          </cell>
          <cell r="B103">
            <v>2018</v>
          </cell>
          <cell r="D103">
            <v>387.75</v>
          </cell>
        </row>
        <row r="104">
          <cell r="A104">
            <v>2</v>
          </cell>
          <cell r="B104">
            <v>2018</v>
          </cell>
          <cell r="D104">
            <v>374.5</v>
          </cell>
        </row>
        <row r="105">
          <cell r="A105">
            <v>1</v>
          </cell>
          <cell r="B105">
            <v>2018</v>
          </cell>
          <cell r="D105">
            <v>361.5</v>
          </cell>
        </row>
        <row r="106">
          <cell r="A106">
            <v>12</v>
          </cell>
          <cell r="B106">
            <v>2017</v>
          </cell>
          <cell r="D106">
            <v>350.75</v>
          </cell>
        </row>
        <row r="107">
          <cell r="A107">
            <v>11</v>
          </cell>
          <cell r="B107">
            <v>2017</v>
          </cell>
          <cell r="D107">
            <v>341.75</v>
          </cell>
        </row>
        <row r="108">
          <cell r="A108">
            <v>10</v>
          </cell>
          <cell r="B108">
            <v>2017</v>
          </cell>
          <cell r="D108">
            <v>345.75</v>
          </cell>
        </row>
        <row r="109">
          <cell r="A109">
            <v>9</v>
          </cell>
          <cell r="B109">
            <v>2017</v>
          </cell>
          <cell r="D109">
            <v>355.25</v>
          </cell>
        </row>
        <row r="110">
          <cell r="A110">
            <v>8</v>
          </cell>
          <cell r="B110">
            <v>2017</v>
          </cell>
          <cell r="D110">
            <v>342.25</v>
          </cell>
        </row>
        <row r="111">
          <cell r="A111">
            <v>7</v>
          </cell>
          <cell r="B111">
            <v>2017</v>
          </cell>
          <cell r="D111">
            <v>370.75</v>
          </cell>
        </row>
        <row r="112">
          <cell r="A112">
            <v>6</v>
          </cell>
          <cell r="B112">
            <v>2017</v>
          </cell>
          <cell r="D112">
            <v>370.5</v>
          </cell>
        </row>
        <row r="113">
          <cell r="A113">
            <v>5</v>
          </cell>
          <cell r="B113">
            <v>2017</v>
          </cell>
          <cell r="D113">
            <v>372</v>
          </cell>
        </row>
        <row r="114">
          <cell r="A114">
            <v>4</v>
          </cell>
          <cell r="B114">
            <v>2017</v>
          </cell>
          <cell r="D114">
            <v>358</v>
          </cell>
        </row>
        <row r="115">
          <cell r="A115">
            <v>3</v>
          </cell>
          <cell r="B115">
            <v>2017</v>
          </cell>
          <cell r="D115">
            <v>364.25</v>
          </cell>
        </row>
        <row r="116">
          <cell r="A116">
            <v>2</v>
          </cell>
          <cell r="B116">
            <v>2017</v>
          </cell>
          <cell r="D116">
            <v>366.75</v>
          </cell>
        </row>
        <row r="117">
          <cell r="A117">
            <v>1</v>
          </cell>
          <cell r="B117">
            <v>2017</v>
          </cell>
          <cell r="D117">
            <v>359.75</v>
          </cell>
        </row>
        <row r="118">
          <cell r="A118">
            <v>12</v>
          </cell>
          <cell r="B118">
            <v>2016</v>
          </cell>
          <cell r="D118">
            <v>352</v>
          </cell>
        </row>
        <row r="119">
          <cell r="A119">
            <v>11</v>
          </cell>
          <cell r="B119">
            <v>2016</v>
          </cell>
          <cell r="D119">
            <v>336.75</v>
          </cell>
        </row>
        <row r="120">
          <cell r="A120">
            <v>10</v>
          </cell>
          <cell r="B120">
            <v>2016</v>
          </cell>
          <cell r="D120">
            <v>354.75</v>
          </cell>
        </row>
        <row r="121">
          <cell r="A121">
            <v>9</v>
          </cell>
          <cell r="B121">
            <v>2016</v>
          </cell>
          <cell r="D121">
            <v>336.75</v>
          </cell>
        </row>
        <row r="122">
          <cell r="A122">
            <v>8</v>
          </cell>
          <cell r="B122">
            <v>2016</v>
          </cell>
          <cell r="D122">
            <v>301.5</v>
          </cell>
        </row>
        <row r="123">
          <cell r="A123">
            <v>7</v>
          </cell>
          <cell r="B123">
            <v>2016</v>
          </cell>
          <cell r="D123">
            <v>334.5</v>
          </cell>
        </row>
        <row r="124">
          <cell r="A124">
            <v>6</v>
          </cell>
          <cell r="B124">
            <v>2016</v>
          </cell>
          <cell r="D124">
            <v>358.75</v>
          </cell>
        </row>
        <row r="125">
          <cell r="A125">
            <v>5</v>
          </cell>
          <cell r="B125">
            <v>2016</v>
          </cell>
          <cell r="D125">
            <v>404.75</v>
          </cell>
        </row>
        <row r="126">
          <cell r="A126">
            <v>4</v>
          </cell>
          <cell r="B126">
            <v>2016</v>
          </cell>
          <cell r="D126">
            <v>390.25</v>
          </cell>
        </row>
        <row r="127">
          <cell r="A127">
            <v>3</v>
          </cell>
          <cell r="B127">
            <v>2016</v>
          </cell>
          <cell r="D127">
            <v>351.5</v>
          </cell>
        </row>
        <row r="128">
          <cell r="A128">
            <v>2</v>
          </cell>
          <cell r="B128">
            <v>2016</v>
          </cell>
          <cell r="D128">
            <v>353.5</v>
          </cell>
        </row>
        <row r="129">
          <cell r="A129">
            <v>1</v>
          </cell>
          <cell r="B129">
            <v>2016</v>
          </cell>
          <cell r="D129">
            <v>372</v>
          </cell>
        </row>
        <row r="130">
          <cell r="A130">
            <v>12</v>
          </cell>
          <cell r="B130">
            <v>2015</v>
          </cell>
          <cell r="D130">
            <v>358.75</v>
          </cell>
        </row>
        <row r="131">
          <cell r="A131">
            <v>11</v>
          </cell>
          <cell r="B131">
            <v>2015</v>
          </cell>
          <cell r="D131">
            <v>365</v>
          </cell>
        </row>
        <row r="132">
          <cell r="A132">
            <v>10</v>
          </cell>
          <cell r="B132">
            <v>2015</v>
          </cell>
          <cell r="D132">
            <v>382.25</v>
          </cell>
        </row>
        <row r="133">
          <cell r="A133">
            <v>9</v>
          </cell>
          <cell r="B133">
            <v>2015</v>
          </cell>
          <cell r="D133">
            <v>387.75</v>
          </cell>
        </row>
        <row r="134">
          <cell r="A134">
            <v>8</v>
          </cell>
          <cell r="B134">
            <v>2015</v>
          </cell>
          <cell r="D134">
            <v>363.75</v>
          </cell>
        </row>
        <row r="135">
          <cell r="A135">
            <v>7</v>
          </cell>
          <cell r="B135">
            <v>2015</v>
          </cell>
          <cell r="D135">
            <v>371</v>
          </cell>
        </row>
        <row r="136">
          <cell r="A136">
            <v>6</v>
          </cell>
          <cell r="B136">
            <v>2015</v>
          </cell>
          <cell r="D136">
            <v>414</v>
          </cell>
        </row>
        <row r="137">
          <cell r="A137">
            <v>5</v>
          </cell>
          <cell r="B137">
            <v>2015</v>
          </cell>
          <cell r="D137">
            <v>351.5</v>
          </cell>
        </row>
        <row r="138">
          <cell r="A138">
            <v>4</v>
          </cell>
          <cell r="B138">
            <v>2015</v>
          </cell>
          <cell r="D138">
            <v>362.5</v>
          </cell>
        </row>
        <row r="139">
          <cell r="A139">
            <v>3</v>
          </cell>
          <cell r="B139">
            <v>2015</v>
          </cell>
          <cell r="D139">
            <v>376.25</v>
          </cell>
        </row>
        <row r="140">
          <cell r="A140">
            <v>2</v>
          </cell>
          <cell r="B140">
            <v>2015</v>
          </cell>
          <cell r="D140">
            <v>384.5</v>
          </cell>
        </row>
        <row r="141">
          <cell r="A141">
            <v>1</v>
          </cell>
          <cell r="B141">
            <v>2015</v>
          </cell>
          <cell r="D141">
            <v>370</v>
          </cell>
        </row>
        <row r="142">
          <cell r="A142">
            <v>12</v>
          </cell>
          <cell r="B142">
            <v>2014</v>
          </cell>
          <cell r="D142">
            <v>397</v>
          </cell>
        </row>
        <row r="143">
          <cell r="A143">
            <v>11</v>
          </cell>
          <cell r="B143">
            <v>2014</v>
          </cell>
          <cell r="D143">
            <v>375.75</v>
          </cell>
        </row>
        <row r="144">
          <cell r="A144">
            <v>10</v>
          </cell>
          <cell r="B144">
            <v>2014</v>
          </cell>
          <cell r="D144">
            <v>376.75</v>
          </cell>
        </row>
        <row r="145">
          <cell r="A145">
            <v>9</v>
          </cell>
          <cell r="B145">
            <v>2014</v>
          </cell>
          <cell r="D145">
            <v>320.75</v>
          </cell>
        </row>
        <row r="146">
          <cell r="A146">
            <v>8</v>
          </cell>
          <cell r="B146">
            <v>2014</v>
          </cell>
          <cell r="D146">
            <v>359</v>
          </cell>
        </row>
        <row r="147">
          <cell r="A147">
            <v>7</v>
          </cell>
          <cell r="B147">
            <v>2014</v>
          </cell>
          <cell r="D147">
            <v>357</v>
          </cell>
        </row>
        <row r="148">
          <cell r="A148">
            <v>6</v>
          </cell>
          <cell r="B148">
            <v>2014</v>
          </cell>
          <cell r="D148">
            <v>424.25</v>
          </cell>
        </row>
        <row r="149">
          <cell r="A149">
            <v>5</v>
          </cell>
          <cell r="B149">
            <v>2014</v>
          </cell>
          <cell r="D149">
            <v>465.75</v>
          </cell>
        </row>
        <row r="150">
          <cell r="A150">
            <v>4</v>
          </cell>
          <cell r="B150">
            <v>2014</v>
          </cell>
          <cell r="D150">
            <v>514</v>
          </cell>
        </row>
        <row r="151">
          <cell r="A151">
            <v>3</v>
          </cell>
          <cell r="B151">
            <v>2014</v>
          </cell>
          <cell r="D151">
            <v>502</v>
          </cell>
        </row>
        <row r="152">
          <cell r="A152">
            <v>2</v>
          </cell>
          <cell r="B152">
            <v>2014</v>
          </cell>
          <cell r="D152">
            <v>457.5</v>
          </cell>
        </row>
        <row r="153">
          <cell r="A153">
            <v>1</v>
          </cell>
          <cell r="B153">
            <v>2014</v>
          </cell>
          <cell r="D153">
            <v>434</v>
          </cell>
        </row>
        <row r="154">
          <cell r="A154">
            <v>12</v>
          </cell>
          <cell r="B154">
            <v>2013</v>
          </cell>
          <cell r="D154">
            <v>422</v>
          </cell>
        </row>
        <row r="155">
          <cell r="A155">
            <v>11</v>
          </cell>
          <cell r="B155">
            <v>2013</v>
          </cell>
          <cell r="D155">
            <v>415.25</v>
          </cell>
        </row>
        <row r="156">
          <cell r="A156">
            <v>10</v>
          </cell>
          <cell r="B156">
            <v>2013</v>
          </cell>
          <cell r="D156">
            <v>428.25</v>
          </cell>
        </row>
        <row r="157">
          <cell r="A157">
            <v>9</v>
          </cell>
          <cell r="B157">
            <v>2013</v>
          </cell>
          <cell r="D157">
            <v>441.5</v>
          </cell>
        </row>
        <row r="158">
          <cell r="A158">
            <v>8</v>
          </cell>
          <cell r="B158">
            <v>2013</v>
          </cell>
          <cell r="D158">
            <v>495</v>
          </cell>
        </row>
        <row r="159">
          <cell r="A159">
            <v>7</v>
          </cell>
          <cell r="B159">
            <v>2013</v>
          </cell>
          <cell r="D159">
            <v>499</v>
          </cell>
        </row>
        <row r="160">
          <cell r="A160">
            <v>6</v>
          </cell>
          <cell r="B160">
            <v>2013</v>
          </cell>
          <cell r="D160">
            <v>679.25</v>
          </cell>
        </row>
        <row r="161">
          <cell r="A161">
            <v>5</v>
          </cell>
          <cell r="B161">
            <v>2013</v>
          </cell>
          <cell r="D161">
            <v>662</v>
          </cell>
        </row>
        <row r="162">
          <cell r="A162">
            <v>4</v>
          </cell>
          <cell r="B162">
            <v>2013</v>
          </cell>
          <cell r="D162">
            <v>683.25</v>
          </cell>
        </row>
        <row r="163">
          <cell r="A163">
            <v>3</v>
          </cell>
          <cell r="B163">
            <v>2013</v>
          </cell>
          <cell r="D163">
            <v>695.25</v>
          </cell>
        </row>
        <row r="164">
          <cell r="A164">
            <v>2</v>
          </cell>
          <cell r="B164">
            <v>2013</v>
          </cell>
          <cell r="D164">
            <v>719.5</v>
          </cell>
        </row>
        <row r="165">
          <cell r="A165">
            <v>1</v>
          </cell>
          <cell r="B165">
            <v>2013</v>
          </cell>
          <cell r="D165">
            <v>740.5</v>
          </cell>
        </row>
        <row r="166">
          <cell r="A166">
            <v>12</v>
          </cell>
          <cell r="B166">
            <v>2012</v>
          </cell>
          <cell r="D166">
            <v>698.25</v>
          </cell>
        </row>
        <row r="167">
          <cell r="A167">
            <v>11</v>
          </cell>
          <cell r="B167">
            <v>2012</v>
          </cell>
          <cell r="D167">
            <v>748</v>
          </cell>
        </row>
        <row r="168">
          <cell r="A168">
            <v>10</v>
          </cell>
          <cell r="B168">
            <v>2012</v>
          </cell>
          <cell r="D168">
            <v>755.75</v>
          </cell>
        </row>
        <row r="169">
          <cell r="A169">
            <v>9</v>
          </cell>
          <cell r="B169">
            <v>2012</v>
          </cell>
          <cell r="D169">
            <v>756.25</v>
          </cell>
        </row>
        <row r="170">
          <cell r="A170">
            <v>8</v>
          </cell>
          <cell r="B170">
            <v>2012</v>
          </cell>
          <cell r="D170">
            <v>802.75</v>
          </cell>
        </row>
        <row r="171">
          <cell r="A171">
            <v>7</v>
          </cell>
          <cell r="B171">
            <v>2012</v>
          </cell>
          <cell r="D171">
            <v>805.25</v>
          </cell>
        </row>
        <row r="172">
          <cell r="A172">
            <v>6</v>
          </cell>
          <cell r="B172">
            <v>2012</v>
          </cell>
          <cell r="D172">
            <v>628.5</v>
          </cell>
        </row>
        <row r="173">
          <cell r="A173">
            <v>5</v>
          </cell>
          <cell r="B173">
            <v>2012</v>
          </cell>
          <cell r="D173">
            <v>525.5</v>
          </cell>
        </row>
        <row r="174">
          <cell r="A174">
            <v>4</v>
          </cell>
          <cell r="B174">
            <v>2012</v>
          </cell>
          <cell r="D174">
            <v>634.25</v>
          </cell>
        </row>
        <row r="175">
          <cell r="A175">
            <v>3</v>
          </cell>
          <cell r="B175">
            <v>2012</v>
          </cell>
          <cell r="D175">
            <v>643.25</v>
          </cell>
        </row>
        <row r="176">
          <cell r="A176">
            <v>2</v>
          </cell>
          <cell r="B176">
            <v>2012</v>
          </cell>
          <cell r="D176">
            <v>658</v>
          </cell>
        </row>
        <row r="177">
          <cell r="A177">
            <v>1</v>
          </cell>
          <cell r="B177">
            <v>2012</v>
          </cell>
          <cell r="D177">
            <v>645.25</v>
          </cell>
        </row>
        <row r="178">
          <cell r="A178">
            <v>12</v>
          </cell>
          <cell r="B178">
            <v>2011</v>
          </cell>
          <cell r="D178">
            <v>654.75</v>
          </cell>
        </row>
        <row r="179">
          <cell r="A179">
            <v>11</v>
          </cell>
          <cell r="B179">
            <v>2011</v>
          </cell>
          <cell r="D179">
            <v>608</v>
          </cell>
        </row>
        <row r="180">
          <cell r="A180">
            <v>10</v>
          </cell>
          <cell r="B180">
            <v>2011</v>
          </cell>
          <cell r="D180">
            <v>659</v>
          </cell>
        </row>
        <row r="181">
          <cell r="A181">
            <v>9</v>
          </cell>
          <cell r="B181">
            <v>2011</v>
          </cell>
          <cell r="D181">
            <v>605.75</v>
          </cell>
        </row>
        <row r="182">
          <cell r="A182">
            <v>8</v>
          </cell>
          <cell r="B182">
            <v>2011</v>
          </cell>
          <cell r="D182">
            <v>767.5</v>
          </cell>
        </row>
        <row r="183">
          <cell r="A183">
            <v>7</v>
          </cell>
          <cell r="B183">
            <v>2011</v>
          </cell>
          <cell r="D183">
            <v>668.75</v>
          </cell>
        </row>
        <row r="184">
          <cell r="A184">
            <v>6</v>
          </cell>
          <cell r="B184">
            <v>2011</v>
          </cell>
          <cell r="D184">
            <v>648</v>
          </cell>
        </row>
        <row r="185">
          <cell r="A185">
            <v>5</v>
          </cell>
          <cell r="B185">
            <v>2011</v>
          </cell>
          <cell r="D185">
            <v>717.5</v>
          </cell>
        </row>
        <row r="186">
          <cell r="A186">
            <v>4</v>
          </cell>
          <cell r="B186">
            <v>2011</v>
          </cell>
          <cell r="D186">
            <v>756.5</v>
          </cell>
        </row>
        <row r="187">
          <cell r="A187">
            <v>3</v>
          </cell>
          <cell r="B187">
            <v>2011</v>
          </cell>
          <cell r="D187">
            <v>701</v>
          </cell>
        </row>
        <row r="188">
          <cell r="A188">
            <v>2</v>
          </cell>
          <cell r="B188">
            <v>2011</v>
          </cell>
          <cell r="D188">
            <v>731</v>
          </cell>
        </row>
        <row r="189">
          <cell r="A189">
            <v>1</v>
          </cell>
          <cell r="B189">
            <v>2011</v>
          </cell>
          <cell r="D189">
            <v>670</v>
          </cell>
        </row>
        <row r="190">
          <cell r="A190">
            <v>12</v>
          </cell>
          <cell r="B190">
            <v>2010</v>
          </cell>
          <cell r="D190">
            <v>636.5</v>
          </cell>
        </row>
        <row r="191">
          <cell r="A191">
            <v>11</v>
          </cell>
          <cell r="B191">
            <v>2010</v>
          </cell>
          <cell r="D191">
            <v>544</v>
          </cell>
        </row>
        <row r="192">
          <cell r="A192">
            <v>10</v>
          </cell>
          <cell r="B192">
            <v>2010</v>
          </cell>
          <cell r="D192">
            <v>595</v>
          </cell>
        </row>
        <row r="193">
          <cell r="A193">
            <v>9</v>
          </cell>
          <cell r="B193">
            <v>2010</v>
          </cell>
          <cell r="D193">
            <v>508.25</v>
          </cell>
        </row>
        <row r="194">
          <cell r="A194">
            <v>8</v>
          </cell>
          <cell r="B194">
            <v>2010</v>
          </cell>
          <cell r="D194">
            <v>439.25</v>
          </cell>
        </row>
        <row r="195">
          <cell r="A195">
            <v>7</v>
          </cell>
          <cell r="B195">
            <v>2010</v>
          </cell>
          <cell r="D195">
            <v>406.75</v>
          </cell>
        </row>
        <row r="196">
          <cell r="A196">
            <v>6</v>
          </cell>
          <cell r="B196">
            <v>2010</v>
          </cell>
          <cell r="D196">
            <v>362.75</v>
          </cell>
        </row>
        <row r="197">
          <cell r="A197">
            <v>5</v>
          </cell>
          <cell r="B197">
            <v>2010</v>
          </cell>
          <cell r="D197">
            <v>369</v>
          </cell>
        </row>
        <row r="198">
          <cell r="A198">
            <v>4</v>
          </cell>
          <cell r="B198">
            <v>2010</v>
          </cell>
          <cell r="D198">
            <v>375.25</v>
          </cell>
        </row>
        <row r="199">
          <cell r="A199">
            <v>3</v>
          </cell>
          <cell r="B199">
            <v>2010</v>
          </cell>
          <cell r="D199">
            <v>356.5</v>
          </cell>
        </row>
        <row r="200">
          <cell r="A200">
            <v>2</v>
          </cell>
          <cell r="B200">
            <v>2010</v>
          </cell>
          <cell r="D200">
            <v>389</v>
          </cell>
        </row>
        <row r="201">
          <cell r="A201">
            <v>1</v>
          </cell>
          <cell r="B201">
            <v>2010</v>
          </cell>
          <cell r="D201">
            <v>367.75</v>
          </cell>
        </row>
        <row r="202">
          <cell r="A202">
            <v>12</v>
          </cell>
          <cell r="B202">
            <v>2009</v>
          </cell>
          <cell r="D202">
            <v>424.25</v>
          </cell>
        </row>
        <row r="203">
          <cell r="A203">
            <v>11</v>
          </cell>
          <cell r="B203">
            <v>2009</v>
          </cell>
          <cell r="D203">
            <v>417.5</v>
          </cell>
        </row>
        <row r="204">
          <cell r="A204">
            <v>10</v>
          </cell>
          <cell r="B204">
            <v>2009</v>
          </cell>
          <cell r="D204">
            <v>379.25</v>
          </cell>
        </row>
        <row r="205">
          <cell r="A205">
            <v>9</v>
          </cell>
          <cell r="B205">
            <v>2009</v>
          </cell>
          <cell r="D205">
            <v>356.75</v>
          </cell>
        </row>
        <row r="206">
          <cell r="A206">
            <v>8</v>
          </cell>
          <cell r="B206">
            <v>2009</v>
          </cell>
          <cell r="D206">
            <v>329.75</v>
          </cell>
        </row>
        <row r="207">
          <cell r="A207">
            <v>7</v>
          </cell>
          <cell r="B207">
            <v>2009</v>
          </cell>
          <cell r="D207">
            <v>349.5</v>
          </cell>
        </row>
        <row r="208">
          <cell r="A208">
            <v>6</v>
          </cell>
          <cell r="B208">
            <v>2009</v>
          </cell>
          <cell r="D208">
            <v>354.5</v>
          </cell>
        </row>
        <row r="209">
          <cell r="A209">
            <v>5</v>
          </cell>
          <cell r="B209">
            <v>2009</v>
          </cell>
          <cell r="D209">
            <v>446.25</v>
          </cell>
        </row>
        <row r="210">
          <cell r="A210">
            <v>4</v>
          </cell>
          <cell r="B210">
            <v>2009</v>
          </cell>
          <cell r="D210">
            <v>403.5</v>
          </cell>
        </row>
        <row r="211">
          <cell r="A211">
            <v>3</v>
          </cell>
          <cell r="B211">
            <v>2009</v>
          </cell>
          <cell r="D211">
            <v>414.75</v>
          </cell>
        </row>
        <row r="212">
          <cell r="A212">
            <v>2</v>
          </cell>
          <cell r="B212">
            <v>2009</v>
          </cell>
          <cell r="D212">
            <v>359</v>
          </cell>
        </row>
        <row r="213">
          <cell r="A213">
            <v>1</v>
          </cell>
          <cell r="B213">
            <v>2009</v>
          </cell>
          <cell r="D213">
            <v>390.25</v>
          </cell>
        </row>
        <row r="214">
          <cell r="A214">
            <v>12</v>
          </cell>
          <cell r="B214">
            <v>2008</v>
          </cell>
          <cell r="D214">
            <v>417.75</v>
          </cell>
        </row>
        <row r="215">
          <cell r="A215">
            <v>11</v>
          </cell>
          <cell r="B215">
            <v>2008</v>
          </cell>
          <cell r="D215">
            <v>365.75</v>
          </cell>
        </row>
        <row r="216">
          <cell r="A216">
            <v>10</v>
          </cell>
          <cell r="B216">
            <v>2008</v>
          </cell>
          <cell r="D216">
            <v>419.25</v>
          </cell>
        </row>
        <row r="217">
          <cell r="A217">
            <v>9</v>
          </cell>
          <cell r="B217">
            <v>2008</v>
          </cell>
          <cell r="D217">
            <v>506.5</v>
          </cell>
        </row>
        <row r="218">
          <cell r="A218">
            <v>8</v>
          </cell>
          <cell r="B218">
            <v>2008</v>
          </cell>
          <cell r="D218">
            <v>585</v>
          </cell>
        </row>
        <row r="219">
          <cell r="A219">
            <v>7</v>
          </cell>
          <cell r="B219">
            <v>2008</v>
          </cell>
          <cell r="D219">
            <v>607.5</v>
          </cell>
        </row>
        <row r="220">
          <cell r="A220">
            <v>6</v>
          </cell>
          <cell r="B220">
            <v>2008</v>
          </cell>
          <cell r="D220">
            <v>737.75</v>
          </cell>
        </row>
        <row r="221">
          <cell r="A221">
            <v>5</v>
          </cell>
          <cell r="B221">
            <v>2008</v>
          </cell>
          <cell r="D221">
            <v>612.5</v>
          </cell>
        </row>
        <row r="222">
          <cell r="A222">
            <v>4</v>
          </cell>
          <cell r="B222">
            <v>2008</v>
          </cell>
          <cell r="D222">
            <v>612.25</v>
          </cell>
        </row>
        <row r="223">
          <cell r="A223">
            <v>3</v>
          </cell>
          <cell r="B223">
            <v>2008</v>
          </cell>
          <cell r="D223">
            <v>582</v>
          </cell>
        </row>
        <row r="224">
          <cell r="A224">
            <v>2</v>
          </cell>
          <cell r="B224">
            <v>2008</v>
          </cell>
          <cell r="D224">
            <v>556.5</v>
          </cell>
        </row>
        <row r="225">
          <cell r="A225">
            <v>1</v>
          </cell>
          <cell r="B225">
            <v>2008</v>
          </cell>
          <cell r="D225">
            <v>513.25</v>
          </cell>
        </row>
        <row r="226">
          <cell r="A226">
            <v>12</v>
          </cell>
          <cell r="B226">
            <v>2007</v>
          </cell>
          <cell r="D226">
            <v>466.75</v>
          </cell>
        </row>
        <row r="227">
          <cell r="A227">
            <v>11</v>
          </cell>
          <cell r="B227">
            <v>2007</v>
          </cell>
          <cell r="D227">
            <v>401.5</v>
          </cell>
        </row>
        <row r="228">
          <cell r="A228">
            <v>10</v>
          </cell>
          <cell r="B228">
            <v>2007</v>
          </cell>
          <cell r="D228">
            <v>392.75</v>
          </cell>
        </row>
        <row r="229">
          <cell r="A229">
            <v>9</v>
          </cell>
          <cell r="B229">
            <v>2007</v>
          </cell>
          <cell r="D229">
            <v>389.25</v>
          </cell>
        </row>
        <row r="230">
          <cell r="A230">
            <v>8</v>
          </cell>
          <cell r="B230">
            <v>2007</v>
          </cell>
          <cell r="D230">
            <v>340</v>
          </cell>
        </row>
        <row r="231">
          <cell r="A231">
            <v>7</v>
          </cell>
          <cell r="B231">
            <v>2007</v>
          </cell>
          <cell r="D231">
            <v>342.25</v>
          </cell>
        </row>
        <row r="232">
          <cell r="A232">
            <v>6</v>
          </cell>
          <cell r="B232">
            <v>2007</v>
          </cell>
          <cell r="D232">
            <v>340</v>
          </cell>
        </row>
        <row r="233">
          <cell r="A233">
            <v>5</v>
          </cell>
          <cell r="B233">
            <v>2007</v>
          </cell>
          <cell r="D233">
            <v>391.5</v>
          </cell>
        </row>
        <row r="234">
          <cell r="A234">
            <v>4</v>
          </cell>
          <cell r="B234">
            <v>2007</v>
          </cell>
          <cell r="D234">
            <v>367.5</v>
          </cell>
        </row>
        <row r="235">
          <cell r="A235">
            <v>3</v>
          </cell>
          <cell r="B235">
            <v>2007</v>
          </cell>
          <cell r="D235">
            <v>385.5</v>
          </cell>
        </row>
        <row r="236">
          <cell r="A236">
            <v>2</v>
          </cell>
          <cell r="B236">
            <v>2007</v>
          </cell>
          <cell r="D236">
            <v>435.5</v>
          </cell>
        </row>
        <row r="237">
          <cell r="A237">
            <v>1</v>
          </cell>
          <cell r="B237">
            <v>2007</v>
          </cell>
          <cell r="D237">
            <v>415.75</v>
          </cell>
        </row>
        <row r="238">
          <cell r="A238">
            <v>12</v>
          </cell>
          <cell r="B238">
            <v>2006</v>
          </cell>
          <cell r="D238">
            <v>398.5</v>
          </cell>
        </row>
        <row r="239">
          <cell r="A239">
            <v>11</v>
          </cell>
          <cell r="B239">
            <v>2006</v>
          </cell>
          <cell r="D239">
            <v>390.5</v>
          </cell>
        </row>
        <row r="240">
          <cell r="A240">
            <v>10</v>
          </cell>
          <cell r="B240">
            <v>2006</v>
          </cell>
          <cell r="D240">
            <v>334.75</v>
          </cell>
        </row>
        <row r="241">
          <cell r="A241">
            <v>9</v>
          </cell>
          <cell r="B241">
            <v>2006</v>
          </cell>
          <cell r="D241">
            <v>275.25</v>
          </cell>
        </row>
        <row r="242">
          <cell r="A242">
            <v>8</v>
          </cell>
          <cell r="B242">
            <v>2006</v>
          </cell>
          <cell r="D242">
            <v>248</v>
          </cell>
        </row>
        <row r="243">
          <cell r="A243">
            <v>7</v>
          </cell>
          <cell r="B243">
            <v>2006</v>
          </cell>
          <cell r="D243">
            <v>256</v>
          </cell>
        </row>
        <row r="244">
          <cell r="A244">
            <v>6</v>
          </cell>
          <cell r="B244">
            <v>2006</v>
          </cell>
          <cell r="D244">
            <v>246</v>
          </cell>
        </row>
        <row r="245">
          <cell r="A245">
            <v>5</v>
          </cell>
          <cell r="B245">
            <v>2006</v>
          </cell>
          <cell r="D245">
            <v>262.5</v>
          </cell>
        </row>
        <row r="246">
          <cell r="A246">
            <v>4</v>
          </cell>
          <cell r="B246">
            <v>2006</v>
          </cell>
          <cell r="D246">
            <v>249</v>
          </cell>
        </row>
        <row r="247">
          <cell r="A247">
            <v>3</v>
          </cell>
          <cell r="B247">
            <v>2006</v>
          </cell>
          <cell r="D247">
            <v>247.25</v>
          </cell>
        </row>
        <row r="248">
          <cell r="A248">
            <v>2</v>
          </cell>
          <cell r="B248">
            <v>2006</v>
          </cell>
          <cell r="D248">
            <v>238.75</v>
          </cell>
        </row>
        <row r="249">
          <cell r="A249">
            <v>1</v>
          </cell>
          <cell r="B249">
            <v>2006</v>
          </cell>
          <cell r="D249">
            <v>229</v>
          </cell>
        </row>
        <row r="250">
          <cell r="A250">
            <v>12</v>
          </cell>
          <cell r="B250">
            <v>2005</v>
          </cell>
          <cell r="D250">
            <v>225</v>
          </cell>
        </row>
        <row r="251">
          <cell r="A251">
            <v>11</v>
          </cell>
          <cell r="B251">
            <v>2005</v>
          </cell>
          <cell r="D251">
            <v>201.75</v>
          </cell>
        </row>
        <row r="252">
          <cell r="A252">
            <v>10</v>
          </cell>
          <cell r="B252">
            <v>2005</v>
          </cell>
          <cell r="D252">
            <v>210.25</v>
          </cell>
        </row>
        <row r="253">
          <cell r="A253">
            <v>9</v>
          </cell>
          <cell r="B253">
            <v>2005</v>
          </cell>
          <cell r="D253">
            <v>217.75</v>
          </cell>
        </row>
        <row r="254">
          <cell r="A254">
            <v>8</v>
          </cell>
          <cell r="B254">
            <v>2005</v>
          </cell>
          <cell r="D254">
            <v>216.5</v>
          </cell>
        </row>
        <row r="255">
          <cell r="A255">
            <v>7</v>
          </cell>
          <cell r="B255">
            <v>2005</v>
          </cell>
          <cell r="D255">
            <v>248.25</v>
          </cell>
        </row>
        <row r="256">
          <cell r="A256">
            <v>6</v>
          </cell>
          <cell r="B256">
            <v>2005</v>
          </cell>
          <cell r="D256">
            <v>222.25</v>
          </cell>
        </row>
        <row r="257">
          <cell r="A257">
            <v>5</v>
          </cell>
          <cell r="B257">
            <v>2005</v>
          </cell>
          <cell r="D257">
            <v>230.75</v>
          </cell>
        </row>
        <row r="258">
          <cell r="A258">
            <v>4</v>
          </cell>
          <cell r="B258">
            <v>2005</v>
          </cell>
          <cell r="D258">
            <v>213.5</v>
          </cell>
        </row>
        <row r="259">
          <cell r="A259">
            <v>3</v>
          </cell>
          <cell r="B259">
            <v>2005</v>
          </cell>
          <cell r="D259">
            <v>221</v>
          </cell>
        </row>
        <row r="260">
          <cell r="A260">
            <v>2</v>
          </cell>
          <cell r="B260">
            <v>2005</v>
          </cell>
          <cell r="D260">
            <v>222.75</v>
          </cell>
        </row>
        <row r="261">
          <cell r="A261">
            <v>1</v>
          </cell>
          <cell r="B261">
            <v>2005</v>
          </cell>
          <cell r="D261">
            <v>204.5</v>
          </cell>
        </row>
        <row r="262">
          <cell r="A262">
            <v>12</v>
          </cell>
          <cell r="B262">
            <v>2004</v>
          </cell>
          <cell r="D262">
            <v>213</v>
          </cell>
        </row>
        <row r="263">
          <cell r="A263">
            <v>11</v>
          </cell>
          <cell r="B263">
            <v>2004</v>
          </cell>
          <cell r="D263">
            <v>203.75</v>
          </cell>
        </row>
        <row r="264">
          <cell r="A264">
            <v>10</v>
          </cell>
          <cell r="B264">
            <v>2004</v>
          </cell>
          <cell r="D264">
            <v>213</v>
          </cell>
        </row>
        <row r="265">
          <cell r="A265">
            <v>9</v>
          </cell>
          <cell r="B265">
            <v>2004</v>
          </cell>
          <cell r="D265">
            <v>216.25</v>
          </cell>
        </row>
        <row r="266">
          <cell r="A266">
            <v>8</v>
          </cell>
          <cell r="B266">
            <v>2004</v>
          </cell>
          <cell r="D266">
            <v>237.75</v>
          </cell>
        </row>
        <row r="267">
          <cell r="A267">
            <v>7</v>
          </cell>
          <cell r="B267">
            <v>2004</v>
          </cell>
          <cell r="D267">
            <v>225.5</v>
          </cell>
        </row>
        <row r="268">
          <cell r="A268">
            <v>6</v>
          </cell>
          <cell r="B268">
            <v>2004</v>
          </cell>
          <cell r="D268">
            <v>262.5</v>
          </cell>
        </row>
        <row r="269">
          <cell r="A269">
            <v>5</v>
          </cell>
          <cell r="B269">
            <v>2004</v>
          </cell>
          <cell r="D269">
            <v>299.75</v>
          </cell>
        </row>
        <row r="270">
          <cell r="A270">
            <v>4</v>
          </cell>
          <cell r="B270">
            <v>2004</v>
          </cell>
          <cell r="D270">
            <v>320.25</v>
          </cell>
        </row>
        <row r="271">
          <cell r="A271">
            <v>3</v>
          </cell>
          <cell r="B271">
            <v>2004</v>
          </cell>
          <cell r="D271">
            <v>325.5</v>
          </cell>
        </row>
        <row r="272">
          <cell r="A272">
            <v>2</v>
          </cell>
          <cell r="B272">
            <v>2004</v>
          </cell>
          <cell r="D272">
            <v>303</v>
          </cell>
        </row>
        <row r="273">
          <cell r="A273">
            <v>1</v>
          </cell>
          <cell r="B273">
            <v>2004</v>
          </cell>
          <cell r="D273">
            <v>281.5</v>
          </cell>
        </row>
        <row r="274">
          <cell r="A274">
            <v>12</v>
          </cell>
          <cell r="B274">
            <v>2003</v>
          </cell>
          <cell r="D274">
            <v>248.75</v>
          </cell>
        </row>
        <row r="275">
          <cell r="A275">
            <v>11</v>
          </cell>
          <cell r="B275">
            <v>2003</v>
          </cell>
          <cell r="D275">
            <v>248.75</v>
          </cell>
        </row>
        <row r="276">
          <cell r="A276">
            <v>10</v>
          </cell>
          <cell r="B276">
            <v>2003</v>
          </cell>
          <cell r="D276">
            <v>252.5</v>
          </cell>
        </row>
        <row r="277">
          <cell r="A277">
            <v>9</v>
          </cell>
          <cell r="B277">
            <v>2003</v>
          </cell>
          <cell r="D277">
            <v>228.75</v>
          </cell>
        </row>
        <row r="278">
          <cell r="A278">
            <v>8</v>
          </cell>
          <cell r="B278">
            <v>2003</v>
          </cell>
          <cell r="D278">
            <v>241.75</v>
          </cell>
        </row>
        <row r="279">
          <cell r="A279">
            <v>7</v>
          </cell>
          <cell r="B279">
            <v>2003</v>
          </cell>
          <cell r="D279">
            <v>212</v>
          </cell>
        </row>
        <row r="280">
          <cell r="A280">
            <v>6</v>
          </cell>
          <cell r="B280">
            <v>2003</v>
          </cell>
          <cell r="D280">
            <v>223.75</v>
          </cell>
        </row>
        <row r="281">
          <cell r="A281">
            <v>5</v>
          </cell>
          <cell r="B281">
            <v>2003</v>
          </cell>
          <cell r="D281">
            <v>243</v>
          </cell>
        </row>
        <row r="282">
          <cell r="A282">
            <v>4</v>
          </cell>
          <cell r="B282">
            <v>2003</v>
          </cell>
          <cell r="D282">
            <v>231.25</v>
          </cell>
        </row>
        <row r="283">
          <cell r="A283">
            <v>3</v>
          </cell>
          <cell r="B283">
            <v>2003</v>
          </cell>
          <cell r="D283">
            <v>237</v>
          </cell>
        </row>
        <row r="284">
          <cell r="A284">
            <v>2</v>
          </cell>
          <cell r="B284">
            <v>2003</v>
          </cell>
          <cell r="D284">
            <v>233.25</v>
          </cell>
        </row>
        <row r="285">
          <cell r="A285">
            <v>1</v>
          </cell>
          <cell r="B285">
            <v>2003</v>
          </cell>
          <cell r="D285">
            <v>240.25</v>
          </cell>
        </row>
        <row r="286">
          <cell r="A286">
            <v>12</v>
          </cell>
          <cell r="B286">
            <v>2002</v>
          </cell>
          <cell r="D286">
            <v>239.75</v>
          </cell>
        </row>
        <row r="287">
          <cell r="A287">
            <v>11</v>
          </cell>
          <cell r="B287">
            <v>2002</v>
          </cell>
          <cell r="D287">
            <v>241.5</v>
          </cell>
        </row>
        <row r="288">
          <cell r="A288">
            <v>10</v>
          </cell>
          <cell r="B288">
            <v>2002</v>
          </cell>
          <cell r="D288">
            <v>252</v>
          </cell>
        </row>
        <row r="289">
          <cell r="A289">
            <v>9</v>
          </cell>
          <cell r="B289">
            <v>2002</v>
          </cell>
          <cell r="D289">
            <v>259</v>
          </cell>
        </row>
        <row r="290">
          <cell r="A290">
            <v>8</v>
          </cell>
          <cell r="B290">
            <v>2002</v>
          </cell>
          <cell r="D290">
            <v>268</v>
          </cell>
        </row>
        <row r="291">
          <cell r="A291">
            <v>7</v>
          </cell>
          <cell r="B291">
            <v>2002</v>
          </cell>
          <cell r="D291">
            <v>256.5</v>
          </cell>
        </row>
        <row r="292">
          <cell r="A292">
            <v>6</v>
          </cell>
          <cell r="B292">
            <v>2002</v>
          </cell>
          <cell r="D292">
            <v>233</v>
          </cell>
        </row>
        <row r="293">
          <cell r="A293">
            <v>5</v>
          </cell>
          <cell r="B293">
            <v>2002</v>
          </cell>
          <cell r="D293">
            <v>220.5</v>
          </cell>
        </row>
        <row r="294">
          <cell r="A294">
            <v>4</v>
          </cell>
          <cell r="B294">
            <v>2002</v>
          </cell>
          <cell r="D294">
            <v>200.5</v>
          </cell>
        </row>
        <row r="295">
          <cell r="A295">
            <v>3</v>
          </cell>
          <cell r="B295">
            <v>2002</v>
          </cell>
          <cell r="D295">
            <v>209</v>
          </cell>
        </row>
        <row r="296">
          <cell r="A296">
            <v>2</v>
          </cell>
          <cell r="B296">
            <v>2002</v>
          </cell>
          <cell r="D296">
            <v>207.5</v>
          </cell>
        </row>
        <row r="297">
          <cell r="A297">
            <v>1</v>
          </cell>
          <cell r="B297">
            <v>2002</v>
          </cell>
          <cell r="D297">
            <v>213</v>
          </cell>
        </row>
        <row r="298">
          <cell r="A298">
            <v>12</v>
          </cell>
          <cell r="B298">
            <v>2001</v>
          </cell>
          <cell r="D298">
            <v>209</v>
          </cell>
        </row>
        <row r="299">
          <cell r="A299">
            <v>11</v>
          </cell>
          <cell r="B299">
            <v>2001</v>
          </cell>
          <cell r="D299">
            <v>212.5</v>
          </cell>
        </row>
        <row r="300">
          <cell r="A300">
            <v>10</v>
          </cell>
          <cell r="B300">
            <v>2001</v>
          </cell>
          <cell r="D300">
            <v>205.5</v>
          </cell>
        </row>
        <row r="301">
          <cell r="A301">
            <v>9</v>
          </cell>
          <cell r="B301">
            <v>2001</v>
          </cell>
          <cell r="D301">
            <v>214.5</v>
          </cell>
        </row>
        <row r="302">
          <cell r="A302">
            <v>8</v>
          </cell>
          <cell r="B302">
            <v>2001</v>
          </cell>
          <cell r="D302">
            <v>227.75</v>
          </cell>
        </row>
        <row r="303">
          <cell r="A303">
            <v>7</v>
          </cell>
          <cell r="B303">
            <v>2001</v>
          </cell>
          <cell r="D303">
            <v>226.25</v>
          </cell>
        </row>
        <row r="304">
          <cell r="A304">
            <v>6</v>
          </cell>
          <cell r="B304">
            <v>2001</v>
          </cell>
          <cell r="D304">
            <v>197.25</v>
          </cell>
        </row>
        <row r="305">
          <cell r="A305">
            <v>5</v>
          </cell>
          <cell r="B305">
            <v>2001</v>
          </cell>
          <cell r="D305">
            <v>200.5</v>
          </cell>
        </row>
        <row r="306">
          <cell r="A306">
            <v>4</v>
          </cell>
          <cell r="B306">
            <v>2001</v>
          </cell>
          <cell r="D306">
            <v>207.5</v>
          </cell>
        </row>
        <row r="307">
          <cell r="A307">
            <v>3</v>
          </cell>
          <cell r="B307">
            <v>2001</v>
          </cell>
          <cell r="D307">
            <v>212</v>
          </cell>
        </row>
        <row r="308">
          <cell r="A308">
            <v>2</v>
          </cell>
          <cell r="B308">
            <v>2001</v>
          </cell>
          <cell r="D308">
            <v>222.5</v>
          </cell>
        </row>
        <row r="309">
          <cell r="A309">
            <v>1</v>
          </cell>
          <cell r="B309">
            <v>2001</v>
          </cell>
          <cell r="D309">
            <v>217</v>
          </cell>
        </row>
        <row r="310">
          <cell r="A310">
            <v>12</v>
          </cell>
          <cell r="B310">
            <v>2000</v>
          </cell>
          <cell r="D310">
            <v>231.75</v>
          </cell>
        </row>
        <row r="311">
          <cell r="A311">
            <v>11</v>
          </cell>
          <cell r="B311">
            <v>2000</v>
          </cell>
          <cell r="D311">
            <v>212.75</v>
          </cell>
        </row>
        <row r="312">
          <cell r="A312">
            <v>10</v>
          </cell>
          <cell r="B312">
            <v>2000</v>
          </cell>
          <cell r="D312">
            <v>206</v>
          </cell>
        </row>
        <row r="313">
          <cell r="A313">
            <v>9</v>
          </cell>
          <cell r="B313">
            <v>2000</v>
          </cell>
          <cell r="D313">
            <v>197.75</v>
          </cell>
        </row>
        <row r="314">
          <cell r="A314">
            <v>8</v>
          </cell>
          <cell r="B314">
            <v>2000</v>
          </cell>
          <cell r="D314">
            <v>192.75</v>
          </cell>
        </row>
        <row r="315">
          <cell r="A315">
            <v>7</v>
          </cell>
          <cell r="B315">
            <v>2000</v>
          </cell>
          <cell r="D315">
            <v>188.5</v>
          </cell>
        </row>
        <row r="316">
          <cell r="A316">
            <v>6</v>
          </cell>
          <cell r="B316">
            <v>2000</v>
          </cell>
          <cell r="D316">
            <v>195.75</v>
          </cell>
        </row>
        <row r="317">
          <cell r="A317">
            <v>5</v>
          </cell>
          <cell r="B317">
            <v>2000</v>
          </cell>
          <cell r="D317">
            <v>233</v>
          </cell>
        </row>
        <row r="318">
          <cell r="A318">
            <v>4</v>
          </cell>
          <cell r="B318">
            <v>2000</v>
          </cell>
          <cell r="D318">
            <v>232</v>
          </cell>
        </row>
        <row r="319">
          <cell r="A319">
            <v>3</v>
          </cell>
          <cell r="B319">
            <v>2000</v>
          </cell>
          <cell r="D319">
            <v>244.5</v>
          </cell>
        </row>
        <row r="320">
          <cell r="A320">
            <v>2</v>
          </cell>
          <cell r="B320">
            <v>2000</v>
          </cell>
          <cell r="D320">
            <v>224</v>
          </cell>
        </row>
        <row r="321">
          <cell r="A321">
            <v>1</v>
          </cell>
          <cell r="B321">
            <v>2000</v>
          </cell>
          <cell r="D321">
            <v>227.75</v>
          </cell>
        </row>
      </sheetData>
      <sheetData sheetId="12">
        <row r="1">
          <cell r="A1">
            <v>9</v>
          </cell>
          <cell r="B1">
            <v>2026</v>
          </cell>
          <cell r="D1">
            <v>83.27</v>
          </cell>
        </row>
        <row r="2">
          <cell r="A2">
            <v>8</v>
          </cell>
          <cell r="B2">
            <v>2026</v>
          </cell>
          <cell r="D2">
            <v>93.14</v>
          </cell>
        </row>
        <row r="3">
          <cell r="A3">
            <v>7</v>
          </cell>
          <cell r="B3">
            <v>2026</v>
          </cell>
          <cell r="D3">
            <v>81.790000000000006</v>
          </cell>
        </row>
        <row r="4">
          <cell r="A4">
            <v>6</v>
          </cell>
          <cell r="B4">
            <v>2026</v>
          </cell>
          <cell r="D4">
            <v>74.989999999999995</v>
          </cell>
        </row>
        <row r="5">
          <cell r="A5">
            <v>5</v>
          </cell>
          <cell r="B5">
            <v>2026</v>
          </cell>
          <cell r="D5">
            <v>78.150000000000006</v>
          </cell>
        </row>
        <row r="6">
          <cell r="A6">
            <v>4</v>
          </cell>
          <cell r="B6">
            <v>2026</v>
          </cell>
          <cell r="D6">
            <v>82.2</v>
          </cell>
        </row>
        <row r="7">
          <cell r="A7">
            <v>3</v>
          </cell>
          <cell r="B7">
            <v>2026</v>
          </cell>
          <cell r="D7">
            <v>72.13</v>
          </cell>
        </row>
        <row r="8">
          <cell r="A8">
            <v>2</v>
          </cell>
          <cell r="B8">
            <v>2026</v>
          </cell>
          <cell r="D8">
            <v>67.319999999999993</v>
          </cell>
        </row>
        <row r="9">
          <cell r="A9">
            <v>1</v>
          </cell>
          <cell r="B9">
            <v>2026</v>
          </cell>
          <cell r="D9">
            <v>66.55</v>
          </cell>
        </row>
        <row r="10">
          <cell r="A10">
            <v>12</v>
          </cell>
          <cell r="B10">
            <v>2025</v>
          </cell>
          <cell r="D10">
            <v>65.599999999999994</v>
          </cell>
        </row>
        <row r="11">
          <cell r="A11">
            <v>11</v>
          </cell>
          <cell r="B11">
            <v>2025</v>
          </cell>
          <cell r="D11">
            <v>62.91</v>
          </cell>
        </row>
        <row r="12">
          <cell r="A12">
            <v>10</v>
          </cell>
          <cell r="B12">
            <v>2025</v>
          </cell>
          <cell r="D12">
            <v>66.73</v>
          </cell>
        </row>
        <row r="13">
          <cell r="A13">
            <v>9</v>
          </cell>
          <cell r="B13">
            <v>2025</v>
          </cell>
          <cell r="D13">
            <v>63.32</v>
          </cell>
        </row>
        <row r="14">
          <cell r="A14">
            <v>8</v>
          </cell>
          <cell r="B14">
            <v>2025</v>
          </cell>
          <cell r="D14">
            <v>66.540000000000006</v>
          </cell>
        </row>
        <row r="15">
          <cell r="A15">
            <v>7</v>
          </cell>
          <cell r="B15">
            <v>2025</v>
          </cell>
          <cell r="D15">
            <v>65.61</v>
          </cell>
        </row>
        <row r="16">
          <cell r="A16">
            <v>6</v>
          </cell>
          <cell r="B16">
            <v>2025</v>
          </cell>
          <cell r="D16">
            <v>67.680000000000007</v>
          </cell>
        </row>
        <row r="17">
          <cell r="A17">
            <v>5</v>
          </cell>
          <cell r="B17">
            <v>2025</v>
          </cell>
          <cell r="D17">
            <v>67.44</v>
          </cell>
        </row>
        <row r="18">
          <cell r="A18">
            <v>4</v>
          </cell>
          <cell r="B18">
            <v>2025</v>
          </cell>
          <cell r="D18">
            <v>66.02</v>
          </cell>
        </row>
        <row r="19">
          <cell r="A19">
            <v>3</v>
          </cell>
          <cell r="B19">
            <v>2025</v>
          </cell>
          <cell r="D19">
            <v>69.84</v>
          </cell>
        </row>
        <row r="20">
          <cell r="A20">
            <v>2</v>
          </cell>
          <cell r="B20">
            <v>2025</v>
          </cell>
          <cell r="D20">
            <v>63.88</v>
          </cell>
        </row>
        <row r="21">
          <cell r="A21">
            <v>1</v>
          </cell>
          <cell r="B21">
            <v>2025</v>
          </cell>
          <cell r="D21">
            <v>67.040000000000006</v>
          </cell>
        </row>
        <row r="22">
          <cell r="A22">
            <v>12</v>
          </cell>
          <cell r="B22">
            <v>2024</v>
          </cell>
          <cell r="D22">
            <v>68.400000000000006</v>
          </cell>
        </row>
        <row r="23">
          <cell r="A23">
            <v>11</v>
          </cell>
          <cell r="B23">
            <v>2024</v>
          </cell>
          <cell r="D23">
            <v>71.930000000000007</v>
          </cell>
        </row>
        <row r="24">
          <cell r="A24">
            <v>10</v>
          </cell>
          <cell r="B24">
            <v>2024</v>
          </cell>
          <cell r="D24">
            <v>69.569999999999993</v>
          </cell>
        </row>
        <row r="25">
          <cell r="A25">
            <v>9</v>
          </cell>
          <cell r="B25">
            <v>2024</v>
          </cell>
          <cell r="D25">
            <v>73.56</v>
          </cell>
        </row>
        <row r="26">
          <cell r="A26">
            <v>8</v>
          </cell>
          <cell r="B26">
            <v>2024</v>
          </cell>
          <cell r="D26">
            <v>69.790000000000006</v>
          </cell>
        </row>
        <row r="27">
          <cell r="A27">
            <v>7</v>
          </cell>
          <cell r="B27">
            <v>2024</v>
          </cell>
          <cell r="D27">
            <v>67.98</v>
          </cell>
        </row>
        <row r="28">
          <cell r="A28">
            <v>6</v>
          </cell>
          <cell r="B28">
            <v>2024</v>
          </cell>
          <cell r="D28">
            <v>69.81</v>
          </cell>
        </row>
        <row r="29">
          <cell r="A29">
            <v>5</v>
          </cell>
          <cell r="B29">
            <v>2024</v>
          </cell>
          <cell r="D29">
            <v>76.150000000000006</v>
          </cell>
        </row>
        <row r="30">
          <cell r="A30">
            <v>4</v>
          </cell>
          <cell r="B30">
            <v>2024</v>
          </cell>
          <cell r="D30">
            <v>77.92</v>
          </cell>
        </row>
        <row r="31">
          <cell r="A31">
            <v>3</v>
          </cell>
          <cell r="B31">
            <v>2024</v>
          </cell>
          <cell r="D31">
            <v>91.38</v>
          </cell>
        </row>
        <row r="32">
          <cell r="A32">
            <v>2</v>
          </cell>
          <cell r="B32">
            <v>2024</v>
          </cell>
          <cell r="D32">
            <v>101.56</v>
          </cell>
        </row>
        <row r="33">
          <cell r="A33">
            <v>1</v>
          </cell>
          <cell r="B33">
            <v>2024</v>
          </cell>
          <cell r="D33">
            <v>85.17</v>
          </cell>
        </row>
        <row r="34">
          <cell r="A34">
            <v>12</v>
          </cell>
          <cell r="B34">
            <v>2023</v>
          </cell>
          <cell r="D34">
            <v>81</v>
          </cell>
        </row>
        <row r="35">
          <cell r="A35">
            <v>11</v>
          </cell>
          <cell r="B35">
            <v>2023</v>
          </cell>
          <cell r="D35">
            <v>79.400000000000006</v>
          </cell>
        </row>
        <row r="36">
          <cell r="A36">
            <v>10</v>
          </cell>
          <cell r="B36">
            <v>2023</v>
          </cell>
          <cell r="D36">
            <v>81.22</v>
          </cell>
        </row>
        <row r="37">
          <cell r="A37">
            <v>9</v>
          </cell>
          <cell r="B37">
            <v>2023</v>
          </cell>
          <cell r="D37">
            <v>86.86</v>
          </cell>
        </row>
        <row r="38">
          <cell r="A38">
            <v>8</v>
          </cell>
          <cell r="B38">
            <v>2023</v>
          </cell>
          <cell r="D38">
            <v>88.1</v>
          </cell>
        </row>
        <row r="39">
          <cell r="A39">
            <v>7</v>
          </cell>
          <cell r="B39">
            <v>2023</v>
          </cell>
          <cell r="D39">
            <v>85.44</v>
          </cell>
        </row>
        <row r="40">
          <cell r="A40">
            <v>6</v>
          </cell>
          <cell r="B40">
            <v>2023</v>
          </cell>
          <cell r="D40">
            <v>82.84</v>
          </cell>
        </row>
        <row r="41">
          <cell r="A41">
            <v>5</v>
          </cell>
          <cell r="B41">
            <v>2023</v>
          </cell>
          <cell r="D41">
            <v>83.48</v>
          </cell>
        </row>
        <row r="42">
          <cell r="A42">
            <v>4</v>
          </cell>
          <cell r="B42">
            <v>2023</v>
          </cell>
          <cell r="D42">
            <v>79.03</v>
          </cell>
        </row>
        <row r="43">
          <cell r="A43">
            <v>3</v>
          </cell>
          <cell r="B43">
            <v>2023</v>
          </cell>
          <cell r="D43">
            <v>82.78</v>
          </cell>
        </row>
        <row r="44">
          <cell r="A44">
            <v>2</v>
          </cell>
          <cell r="B44">
            <v>2023</v>
          </cell>
          <cell r="D44">
            <v>84.19</v>
          </cell>
        </row>
        <row r="45">
          <cell r="A45">
            <v>1</v>
          </cell>
          <cell r="B45">
            <v>2023</v>
          </cell>
          <cell r="D45">
            <v>86.22</v>
          </cell>
        </row>
        <row r="46">
          <cell r="A46">
            <v>12</v>
          </cell>
          <cell r="B46">
            <v>2022</v>
          </cell>
          <cell r="D46">
            <v>83.37</v>
          </cell>
        </row>
        <row r="47">
          <cell r="A47">
            <v>11</v>
          </cell>
          <cell r="B47">
            <v>2022</v>
          </cell>
          <cell r="D47">
            <v>86.05</v>
          </cell>
        </row>
        <row r="48">
          <cell r="A48">
            <v>10</v>
          </cell>
          <cell r="B48">
            <v>2022</v>
          </cell>
          <cell r="D48">
            <v>72</v>
          </cell>
        </row>
        <row r="49">
          <cell r="A49">
            <v>9</v>
          </cell>
          <cell r="B49">
            <v>2022</v>
          </cell>
          <cell r="D49">
            <v>93.22</v>
          </cell>
        </row>
        <row r="50">
          <cell r="A50">
            <v>8</v>
          </cell>
          <cell r="B50">
            <v>2022</v>
          </cell>
          <cell r="D50">
            <v>118.29</v>
          </cell>
        </row>
        <row r="51">
          <cell r="A51">
            <v>7</v>
          </cell>
          <cell r="B51">
            <v>2022</v>
          </cell>
          <cell r="D51">
            <v>103.13</v>
          </cell>
        </row>
        <row r="52">
          <cell r="A52">
            <v>6</v>
          </cell>
          <cell r="B52">
            <v>2022</v>
          </cell>
          <cell r="D52">
            <v>103.94</v>
          </cell>
        </row>
        <row r="53">
          <cell r="A53">
            <v>5</v>
          </cell>
          <cell r="B53">
            <v>2022</v>
          </cell>
          <cell r="D53">
            <v>138.97999999999999</v>
          </cell>
        </row>
        <row r="54">
          <cell r="A54">
            <v>4</v>
          </cell>
          <cell r="B54">
            <v>2022</v>
          </cell>
          <cell r="D54">
            <v>152.33000000000001</v>
          </cell>
        </row>
        <row r="55">
          <cell r="A55">
            <v>3</v>
          </cell>
          <cell r="B55">
            <v>2022</v>
          </cell>
          <cell r="D55">
            <v>135.69</v>
          </cell>
        </row>
        <row r="56">
          <cell r="A56">
            <v>2</v>
          </cell>
          <cell r="B56">
            <v>2022</v>
          </cell>
          <cell r="D56">
            <v>122.57</v>
          </cell>
        </row>
        <row r="57">
          <cell r="A57">
            <v>1</v>
          </cell>
          <cell r="B57">
            <v>2022</v>
          </cell>
          <cell r="D57">
            <v>127.57</v>
          </cell>
        </row>
        <row r="58">
          <cell r="A58">
            <v>12</v>
          </cell>
          <cell r="B58">
            <v>2021</v>
          </cell>
          <cell r="D58">
            <v>112.6</v>
          </cell>
        </row>
        <row r="59">
          <cell r="A59">
            <v>11</v>
          </cell>
          <cell r="B59">
            <v>2021</v>
          </cell>
          <cell r="D59">
            <v>111.65</v>
          </cell>
        </row>
        <row r="60">
          <cell r="A60">
            <v>10</v>
          </cell>
          <cell r="B60">
            <v>2021</v>
          </cell>
          <cell r="D60">
            <v>114.85</v>
          </cell>
        </row>
        <row r="61">
          <cell r="A61">
            <v>9</v>
          </cell>
          <cell r="B61">
            <v>2021</v>
          </cell>
          <cell r="D61">
            <v>107.8</v>
          </cell>
        </row>
        <row r="62">
          <cell r="A62">
            <v>8</v>
          </cell>
          <cell r="B62">
            <v>2021</v>
          </cell>
          <cell r="D62">
            <v>93.91</v>
          </cell>
        </row>
        <row r="63">
          <cell r="A63">
            <v>7</v>
          </cell>
          <cell r="B63">
            <v>2021</v>
          </cell>
          <cell r="D63">
            <v>89.83</v>
          </cell>
        </row>
        <row r="64">
          <cell r="A64">
            <v>6</v>
          </cell>
          <cell r="B64">
            <v>2021</v>
          </cell>
          <cell r="D64">
            <v>84.03</v>
          </cell>
        </row>
        <row r="65">
          <cell r="A65">
            <v>5</v>
          </cell>
          <cell r="B65">
            <v>2021</v>
          </cell>
          <cell r="D65">
            <v>82.12</v>
          </cell>
        </row>
        <row r="66">
          <cell r="A66">
            <v>4</v>
          </cell>
          <cell r="B66">
            <v>2021</v>
          </cell>
          <cell r="D66">
            <v>87.43</v>
          </cell>
        </row>
        <row r="67">
          <cell r="A67">
            <v>3</v>
          </cell>
          <cell r="B67">
            <v>2021</v>
          </cell>
          <cell r="D67">
            <v>80.88</v>
          </cell>
        </row>
        <row r="68">
          <cell r="A68">
            <v>2</v>
          </cell>
          <cell r="B68">
            <v>2021</v>
          </cell>
          <cell r="D68">
            <v>87.82</v>
          </cell>
        </row>
        <row r="69">
          <cell r="A69">
            <v>1</v>
          </cell>
          <cell r="B69">
            <v>2021</v>
          </cell>
          <cell r="D69">
            <v>80.64</v>
          </cell>
        </row>
        <row r="70">
          <cell r="A70">
            <v>12</v>
          </cell>
          <cell r="B70">
            <v>2020</v>
          </cell>
          <cell r="D70">
            <v>78.12</v>
          </cell>
        </row>
        <row r="71">
          <cell r="A71">
            <v>11</v>
          </cell>
          <cell r="B71">
            <v>2020</v>
          </cell>
          <cell r="D71">
            <v>70.59</v>
          </cell>
        </row>
        <row r="72">
          <cell r="A72">
            <v>10</v>
          </cell>
          <cell r="B72">
            <v>2020</v>
          </cell>
          <cell r="D72">
            <v>68.92</v>
          </cell>
        </row>
        <row r="73">
          <cell r="A73">
            <v>9</v>
          </cell>
          <cell r="B73">
            <v>2020</v>
          </cell>
          <cell r="D73">
            <v>64.489999999999995</v>
          </cell>
        </row>
        <row r="74">
          <cell r="A74">
            <v>8</v>
          </cell>
          <cell r="B74">
            <v>2020</v>
          </cell>
          <cell r="D74">
            <v>64.41</v>
          </cell>
        </row>
        <row r="75">
          <cell r="A75">
            <v>7</v>
          </cell>
          <cell r="B75">
            <v>2020</v>
          </cell>
          <cell r="D75">
            <v>62.3</v>
          </cell>
        </row>
        <row r="76">
          <cell r="A76">
            <v>6</v>
          </cell>
          <cell r="B76">
            <v>2020</v>
          </cell>
          <cell r="D76">
            <v>60.98</v>
          </cell>
        </row>
        <row r="77">
          <cell r="A77">
            <v>5</v>
          </cell>
          <cell r="B77">
            <v>2020</v>
          </cell>
          <cell r="D77">
            <v>57.59</v>
          </cell>
        </row>
        <row r="78">
          <cell r="A78">
            <v>4</v>
          </cell>
          <cell r="B78">
            <v>2020</v>
          </cell>
          <cell r="D78">
            <v>58.06</v>
          </cell>
        </row>
        <row r="79">
          <cell r="A79">
            <v>3</v>
          </cell>
          <cell r="B79">
            <v>2020</v>
          </cell>
          <cell r="D79">
            <v>51.13</v>
          </cell>
        </row>
        <row r="80">
          <cell r="A80">
            <v>2</v>
          </cell>
          <cell r="B80">
            <v>2020</v>
          </cell>
          <cell r="D80">
            <v>61.59</v>
          </cell>
        </row>
        <row r="81">
          <cell r="A81">
            <v>1</v>
          </cell>
          <cell r="B81">
            <v>2020</v>
          </cell>
          <cell r="D81">
            <v>67.5</v>
          </cell>
        </row>
        <row r="82">
          <cell r="A82">
            <v>12</v>
          </cell>
          <cell r="B82">
            <v>2019</v>
          </cell>
          <cell r="D82">
            <v>69.05</v>
          </cell>
        </row>
        <row r="83">
          <cell r="A83">
            <v>11</v>
          </cell>
          <cell r="B83">
            <v>2019</v>
          </cell>
          <cell r="D83">
            <v>64.400000000000006</v>
          </cell>
        </row>
        <row r="84">
          <cell r="A84">
            <v>10</v>
          </cell>
          <cell r="B84">
            <v>2019</v>
          </cell>
          <cell r="D84">
            <v>64.44</v>
          </cell>
        </row>
        <row r="85">
          <cell r="A85">
            <v>9</v>
          </cell>
          <cell r="B85">
            <v>2019</v>
          </cell>
          <cell r="D85">
            <v>59.75</v>
          </cell>
        </row>
        <row r="86">
          <cell r="A86">
            <v>8</v>
          </cell>
          <cell r="B86">
            <v>2019</v>
          </cell>
          <cell r="D86">
            <v>59.05</v>
          </cell>
        </row>
        <row r="87">
          <cell r="A87">
            <v>7</v>
          </cell>
          <cell r="B87">
            <v>2019</v>
          </cell>
          <cell r="D87">
            <v>63.22</v>
          </cell>
        </row>
        <row r="88">
          <cell r="A88">
            <v>6</v>
          </cell>
          <cell r="B88">
            <v>2019</v>
          </cell>
          <cell r="D88">
            <v>63.15</v>
          </cell>
        </row>
        <row r="89">
          <cell r="A89">
            <v>5</v>
          </cell>
          <cell r="B89">
            <v>2019</v>
          </cell>
          <cell r="D89">
            <v>68.08</v>
          </cell>
        </row>
        <row r="90">
          <cell r="A90">
            <v>4</v>
          </cell>
          <cell r="B90">
            <v>2019</v>
          </cell>
          <cell r="D90">
            <v>75.98</v>
          </cell>
        </row>
        <row r="91">
          <cell r="A91">
            <v>3</v>
          </cell>
          <cell r="B91">
            <v>2019</v>
          </cell>
          <cell r="D91">
            <v>77.61</v>
          </cell>
        </row>
        <row r="92">
          <cell r="A92">
            <v>2</v>
          </cell>
          <cell r="B92">
            <v>2019</v>
          </cell>
          <cell r="D92">
            <v>71.739999999999995</v>
          </cell>
        </row>
        <row r="93">
          <cell r="A93">
            <v>1</v>
          </cell>
          <cell r="B93">
            <v>2019</v>
          </cell>
          <cell r="D93">
            <v>74.400000000000006</v>
          </cell>
        </row>
        <row r="94">
          <cell r="A94">
            <v>12</v>
          </cell>
          <cell r="B94">
            <v>2018</v>
          </cell>
          <cell r="D94">
            <v>72.2</v>
          </cell>
        </row>
        <row r="95">
          <cell r="A95">
            <v>11</v>
          </cell>
          <cell r="B95">
            <v>2018</v>
          </cell>
          <cell r="D95">
            <v>77.16</v>
          </cell>
        </row>
        <row r="96">
          <cell r="A96">
            <v>10</v>
          </cell>
          <cell r="B96">
            <v>2018</v>
          </cell>
          <cell r="D96">
            <v>76.86</v>
          </cell>
        </row>
        <row r="97">
          <cell r="A97">
            <v>9</v>
          </cell>
          <cell r="B97">
            <v>2018</v>
          </cell>
          <cell r="D97">
            <v>76.760000000000005</v>
          </cell>
        </row>
        <row r="98">
          <cell r="A98">
            <v>8</v>
          </cell>
          <cell r="B98">
            <v>2018</v>
          </cell>
          <cell r="D98">
            <v>82.31</v>
          </cell>
        </row>
        <row r="99">
          <cell r="A99">
            <v>7</v>
          </cell>
          <cell r="B99">
            <v>2018</v>
          </cell>
          <cell r="D99">
            <v>90.28</v>
          </cell>
        </row>
        <row r="100">
          <cell r="A100">
            <v>6</v>
          </cell>
          <cell r="B100">
            <v>2018</v>
          </cell>
          <cell r="D100">
            <v>85.38</v>
          </cell>
        </row>
        <row r="101">
          <cell r="A101">
            <v>5</v>
          </cell>
          <cell r="B101">
            <v>2018</v>
          </cell>
          <cell r="D101">
            <v>93.15</v>
          </cell>
        </row>
        <row r="102">
          <cell r="A102">
            <v>4</v>
          </cell>
          <cell r="B102">
            <v>2018</v>
          </cell>
          <cell r="D102">
            <v>84.68</v>
          </cell>
        </row>
        <row r="103">
          <cell r="A103">
            <v>3</v>
          </cell>
          <cell r="B103">
            <v>2018</v>
          </cell>
          <cell r="D103">
            <v>81.459999999999994</v>
          </cell>
        </row>
        <row r="104">
          <cell r="A104">
            <v>2</v>
          </cell>
          <cell r="B104">
            <v>2018</v>
          </cell>
          <cell r="D104">
            <v>81.650000000000006</v>
          </cell>
        </row>
        <row r="105">
          <cell r="A105">
            <v>1</v>
          </cell>
          <cell r="B105">
            <v>2018</v>
          </cell>
          <cell r="D105">
            <v>77.28</v>
          </cell>
        </row>
        <row r="106">
          <cell r="A106">
            <v>12</v>
          </cell>
          <cell r="B106">
            <v>2017</v>
          </cell>
          <cell r="D106">
            <v>78.63</v>
          </cell>
        </row>
        <row r="107">
          <cell r="A107">
            <v>11</v>
          </cell>
          <cell r="B107">
            <v>2017</v>
          </cell>
          <cell r="D107">
            <v>75.040000000000006</v>
          </cell>
        </row>
        <row r="108">
          <cell r="A108">
            <v>10</v>
          </cell>
          <cell r="B108">
            <v>2017</v>
          </cell>
          <cell r="D108">
            <v>68.38</v>
          </cell>
        </row>
        <row r="109">
          <cell r="A109">
            <v>9</v>
          </cell>
          <cell r="B109">
            <v>2017</v>
          </cell>
          <cell r="D109">
            <v>69.08</v>
          </cell>
        </row>
        <row r="110">
          <cell r="A110">
            <v>8</v>
          </cell>
          <cell r="B110">
            <v>2017</v>
          </cell>
          <cell r="D110">
            <v>71.48</v>
          </cell>
        </row>
        <row r="111">
          <cell r="A111">
            <v>7</v>
          </cell>
          <cell r="B111">
            <v>2017</v>
          </cell>
          <cell r="D111">
            <v>70.5</v>
          </cell>
        </row>
        <row r="112">
          <cell r="A112">
            <v>6</v>
          </cell>
          <cell r="B112">
            <v>2017</v>
          </cell>
          <cell r="D112">
            <v>75.31</v>
          </cell>
        </row>
        <row r="113">
          <cell r="A113">
            <v>5</v>
          </cell>
          <cell r="B113">
            <v>2017</v>
          </cell>
          <cell r="D113">
            <v>76.98</v>
          </cell>
        </row>
        <row r="114">
          <cell r="A114">
            <v>4</v>
          </cell>
          <cell r="B114">
            <v>2017</v>
          </cell>
          <cell r="D114">
            <v>80.23</v>
          </cell>
        </row>
        <row r="115">
          <cell r="A115">
            <v>3</v>
          </cell>
          <cell r="B115">
            <v>2017</v>
          </cell>
          <cell r="D115">
            <v>77.33</v>
          </cell>
        </row>
        <row r="116">
          <cell r="A116">
            <v>2</v>
          </cell>
          <cell r="B116">
            <v>2017</v>
          </cell>
          <cell r="D116">
            <v>75.33</v>
          </cell>
        </row>
        <row r="117">
          <cell r="A117">
            <v>1</v>
          </cell>
          <cell r="B117">
            <v>2017</v>
          </cell>
          <cell r="D117">
            <v>74.94</v>
          </cell>
        </row>
        <row r="118">
          <cell r="A118">
            <v>12</v>
          </cell>
          <cell r="B118">
            <v>2016</v>
          </cell>
          <cell r="D118">
            <v>70.650000000000006</v>
          </cell>
        </row>
        <row r="119">
          <cell r="A119">
            <v>11</v>
          </cell>
          <cell r="B119">
            <v>2016</v>
          </cell>
          <cell r="D119">
            <v>72.459999999999994</v>
          </cell>
        </row>
        <row r="120">
          <cell r="A120">
            <v>10</v>
          </cell>
          <cell r="B120">
            <v>2016</v>
          </cell>
          <cell r="D120">
            <v>68.86</v>
          </cell>
        </row>
        <row r="121">
          <cell r="A121">
            <v>9</v>
          </cell>
          <cell r="B121">
            <v>2016</v>
          </cell>
          <cell r="D121">
            <v>68.290000000000006</v>
          </cell>
        </row>
        <row r="122">
          <cell r="A122">
            <v>8</v>
          </cell>
          <cell r="B122">
            <v>2016</v>
          </cell>
          <cell r="D122">
            <v>65.319999999999993</v>
          </cell>
        </row>
        <row r="123">
          <cell r="A123">
            <v>7</v>
          </cell>
          <cell r="B123">
            <v>2016</v>
          </cell>
          <cell r="D123">
            <v>74.16</v>
          </cell>
        </row>
        <row r="124">
          <cell r="A124">
            <v>6</v>
          </cell>
          <cell r="B124">
            <v>2016</v>
          </cell>
          <cell r="D124">
            <v>62.82</v>
          </cell>
        </row>
        <row r="125">
          <cell r="A125">
            <v>5</v>
          </cell>
          <cell r="B125">
            <v>2016</v>
          </cell>
          <cell r="D125">
            <v>63.94</v>
          </cell>
        </row>
        <row r="126">
          <cell r="A126">
            <v>4</v>
          </cell>
          <cell r="B126">
            <v>2016</v>
          </cell>
          <cell r="D126">
            <v>63.76</v>
          </cell>
        </row>
        <row r="127">
          <cell r="A127">
            <v>3</v>
          </cell>
          <cell r="B127">
            <v>2016</v>
          </cell>
          <cell r="D127">
            <v>58.44</v>
          </cell>
        </row>
        <row r="128">
          <cell r="A128">
            <v>2</v>
          </cell>
          <cell r="B128">
            <v>2016</v>
          </cell>
          <cell r="D128">
            <v>58.01</v>
          </cell>
        </row>
        <row r="129">
          <cell r="A129">
            <v>1</v>
          </cell>
          <cell r="B129">
            <v>2016</v>
          </cell>
          <cell r="D129">
            <v>61.13</v>
          </cell>
        </row>
        <row r="130">
          <cell r="A130">
            <v>12</v>
          </cell>
          <cell r="B130">
            <v>2015</v>
          </cell>
          <cell r="D130">
            <v>63.28</v>
          </cell>
        </row>
        <row r="131">
          <cell r="A131">
            <v>11</v>
          </cell>
          <cell r="B131">
            <v>2015</v>
          </cell>
          <cell r="D131">
            <v>61.3</v>
          </cell>
        </row>
        <row r="132">
          <cell r="A132">
            <v>10</v>
          </cell>
          <cell r="B132">
            <v>2015</v>
          </cell>
          <cell r="D132">
            <v>63.32</v>
          </cell>
        </row>
        <row r="133">
          <cell r="A133">
            <v>9</v>
          </cell>
          <cell r="B133">
            <v>2015</v>
          </cell>
          <cell r="D133">
            <v>59.49</v>
          </cell>
        </row>
        <row r="134">
          <cell r="A134">
            <v>8</v>
          </cell>
          <cell r="B134">
            <v>2015</v>
          </cell>
          <cell r="D134">
            <v>63.74</v>
          </cell>
        </row>
        <row r="135">
          <cell r="A135">
            <v>7</v>
          </cell>
          <cell r="B135">
            <v>2015</v>
          </cell>
          <cell r="D135">
            <v>64.010000000000005</v>
          </cell>
        </row>
        <row r="136">
          <cell r="A136">
            <v>6</v>
          </cell>
          <cell r="B136">
            <v>2015</v>
          </cell>
          <cell r="D136">
            <v>67.510000000000005</v>
          </cell>
        </row>
        <row r="137">
          <cell r="A137">
            <v>5</v>
          </cell>
          <cell r="B137">
            <v>2015</v>
          </cell>
          <cell r="D137">
            <v>64.349999999999994</v>
          </cell>
        </row>
        <row r="138">
          <cell r="A138">
            <v>4</v>
          </cell>
          <cell r="B138">
            <v>2015</v>
          </cell>
          <cell r="D138">
            <v>68.12</v>
          </cell>
        </row>
        <row r="139">
          <cell r="A139">
            <v>3</v>
          </cell>
          <cell r="B139">
            <v>2015</v>
          </cell>
          <cell r="D139">
            <v>63.1</v>
          </cell>
        </row>
        <row r="140">
          <cell r="A140">
            <v>2</v>
          </cell>
          <cell r="B140">
            <v>2015</v>
          </cell>
          <cell r="D140">
            <v>64.73</v>
          </cell>
        </row>
        <row r="141">
          <cell r="A141">
            <v>1</v>
          </cell>
          <cell r="B141">
            <v>2015</v>
          </cell>
          <cell r="D141">
            <v>59.36</v>
          </cell>
        </row>
        <row r="142">
          <cell r="A142">
            <v>12</v>
          </cell>
          <cell r="B142">
            <v>2014</v>
          </cell>
          <cell r="D142">
            <v>60.27</v>
          </cell>
        </row>
        <row r="143">
          <cell r="A143">
            <v>11</v>
          </cell>
          <cell r="B143">
            <v>2014</v>
          </cell>
          <cell r="D143">
            <v>60.96</v>
          </cell>
        </row>
        <row r="144">
          <cell r="A144">
            <v>10</v>
          </cell>
          <cell r="B144">
            <v>2014</v>
          </cell>
          <cell r="D144">
            <v>64.45</v>
          </cell>
        </row>
        <row r="145">
          <cell r="A145">
            <v>9</v>
          </cell>
          <cell r="B145">
            <v>2014</v>
          </cell>
          <cell r="D145">
            <v>61.96</v>
          </cell>
        </row>
        <row r="146">
          <cell r="A146">
            <v>8</v>
          </cell>
          <cell r="B146">
            <v>2014</v>
          </cell>
          <cell r="D146">
            <v>67.010000000000005</v>
          </cell>
        </row>
        <row r="147">
          <cell r="A147">
            <v>7</v>
          </cell>
          <cell r="B147">
            <v>2014</v>
          </cell>
          <cell r="D147">
            <v>63.51</v>
          </cell>
        </row>
        <row r="148">
          <cell r="A148">
            <v>6</v>
          </cell>
          <cell r="B148">
            <v>2014</v>
          </cell>
          <cell r="D148">
            <v>73.510000000000005</v>
          </cell>
        </row>
        <row r="149">
          <cell r="A149">
            <v>5</v>
          </cell>
          <cell r="B149">
            <v>2014</v>
          </cell>
          <cell r="D149">
            <v>77.47</v>
          </cell>
        </row>
        <row r="150">
          <cell r="A150">
            <v>4</v>
          </cell>
          <cell r="B150">
            <v>2014</v>
          </cell>
          <cell r="D150">
            <v>83.83</v>
          </cell>
        </row>
        <row r="151">
          <cell r="A151">
            <v>3</v>
          </cell>
          <cell r="B151">
            <v>2014</v>
          </cell>
          <cell r="D151">
            <v>93.52</v>
          </cell>
        </row>
        <row r="152">
          <cell r="A152">
            <v>2</v>
          </cell>
          <cell r="B152">
            <v>2014</v>
          </cell>
          <cell r="D152">
            <v>86.59</v>
          </cell>
        </row>
        <row r="153">
          <cell r="A153">
            <v>1</v>
          </cell>
          <cell r="B153">
            <v>2014</v>
          </cell>
          <cell r="D153">
            <v>85.83</v>
          </cell>
        </row>
        <row r="154">
          <cell r="A154">
            <v>12</v>
          </cell>
          <cell r="B154">
            <v>2013</v>
          </cell>
          <cell r="D154">
            <v>84.64</v>
          </cell>
        </row>
        <row r="155">
          <cell r="A155">
            <v>11</v>
          </cell>
          <cell r="B155">
            <v>2013</v>
          </cell>
          <cell r="D155">
            <v>78.14</v>
          </cell>
        </row>
        <row r="156">
          <cell r="A156">
            <v>10</v>
          </cell>
          <cell r="B156">
            <v>2013</v>
          </cell>
          <cell r="D156">
            <v>77.180000000000007</v>
          </cell>
        </row>
        <row r="157">
          <cell r="A157">
            <v>9</v>
          </cell>
          <cell r="B157">
            <v>2013</v>
          </cell>
          <cell r="D157">
            <v>86.11</v>
          </cell>
        </row>
        <row r="158">
          <cell r="A158">
            <v>8</v>
          </cell>
          <cell r="B158">
            <v>2013</v>
          </cell>
          <cell r="D158">
            <v>83.7</v>
          </cell>
        </row>
        <row r="159">
          <cell r="A159">
            <v>7</v>
          </cell>
          <cell r="B159">
            <v>2013</v>
          </cell>
          <cell r="D159">
            <v>85.63</v>
          </cell>
        </row>
        <row r="160">
          <cell r="A160">
            <v>6</v>
          </cell>
          <cell r="B160">
            <v>2013</v>
          </cell>
          <cell r="D160">
            <v>82.71</v>
          </cell>
        </row>
        <row r="161">
          <cell r="A161">
            <v>5</v>
          </cell>
          <cell r="B161">
            <v>2013</v>
          </cell>
          <cell r="D161">
            <v>79.36</v>
          </cell>
        </row>
        <row r="162">
          <cell r="A162">
            <v>4</v>
          </cell>
          <cell r="B162">
            <v>2013</v>
          </cell>
          <cell r="D162">
            <v>85.53</v>
          </cell>
        </row>
        <row r="163">
          <cell r="A163">
            <v>3</v>
          </cell>
          <cell r="B163">
            <v>2013</v>
          </cell>
          <cell r="D163">
            <v>88.46</v>
          </cell>
        </row>
        <row r="164">
          <cell r="A164">
            <v>2</v>
          </cell>
          <cell r="B164">
            <v>2013</v>
          </cell>
          <cell r="D164">
            <v>83.56</v>
          </cell>
        </row>
        <row r="165">
          <cell r="A165">
            <v>1</v>
          </cell>
          <cell r="B165">
            <v>2013</v>
          </cell>
          <cell r="D165">
            <v>83.15</v>
          </cell>
        </row>
        <row r="166">
          <cell r="A166">
            <v>12</v>
          </cell>
          <cell r="B166">
            <v>2012</v>
          </cell>
          <cell r="D166">
            <v>75.86</v>
          </cell>
        </row>
        <row r="167">
          <cell r="A167">
            <v>11</v>
          </cell>
          <cell r="B167">
            <v>2012</v>
          </cell>
          <cell r="D167">
            <v>73.91</v>
          </cell>
        </row>
        <row r="168">
          <cell r="A168">
            <v>10</v>
          </cell>
          <cell r="B168">
            <v>2012</v>
          </cell>
          <cell r="D168">
            <v>71.39</v>
          </cell>
        </row>
        <row r="169">
          <cell r="A169">
            <v>9</v>
          </cell>
          <cell r="B169">
            <v>2012</v>
          </cell>
          <cell r="D169">
            <v>70.650000000000006</v>
          </cell>
        </row>
        <row r="170">
          <cell r="A170">
            <v>8</v>
          </cell>
          <cell r="B170">
            <v>2012</v>
          </cell>
          <cell r="D170">
            <v>77.260000000000005</v>
          </cell>
        </row>
        <row r="171">
          <cell r="A171">
            <v>7</v>
          </cell>
          <cell r="B171">
            <v>2012</v>
          </cell>
          <cell r="D171">
            <v>71.34</v>
          </cell>
        </row>
        <row r="172">
          <cell r="A172">
            <v>6</v>
          </cell>
          <cell r="B172">
            <v>2012</v>
          </cell>
          <cell r="D172">
            <v>71.569999999999993</v>
          </cell>
        </row>
        <row r="173">
          <cell r="A173">
            <v>5</v>
          </cell>
          <cell r="B173">
            <v>2012</v>
          </cell>
          <cell r="D173">
            <v>71.55</v>
          </cell>
        </row>
        <row r="174">
          <cell r="A174">
            <v>4</v>
          </cell>
          <cell r="B174">
            <v>2012</v>
          </cell>
          <cell r="D174">
            <v>87.25</v>
          </cell>
        </row>
        <row r="175">
          <cell r="A175">
            <v>3</v>
          </cell>
          <cell r="B175">
            <v>2012</v>
          </cell>
          <cell r="D175">
            <v>93.52</v>
          </cell>
        </row>
        <row r="176">
          <cell r="A176">
            <v>2</v>
          </cell>
          <cell r="B176">
            <v>2012</v>
          </cell>
          <cell r="D176">
            <v>89.86</v>
          </cell>
        </row>
        <row r="177">
          <cell r="A177">
            <v>1</v>
          </cell>
          <cell r="B177">
            <v>2012</v>
          </cell>
          <cell r="D177">
            <v>93.25</v>
          </cell>
        </row>
        <row r="178">
          <cell r="A178">
            <v>12</v>
          </cell>
          <cell r="B178">
            <v>2011</v>
          </cell>
          <cell r="D178">
            <v>91.8</v>
          </cell>
        </row>
        <row r="179">
          <cell r="A179">
            <v>11</v>
          </cell>
          <cell r="B179">
            <v>2011</v>
          </cell>
          <cell r="D179">
            <v>90.31</v>
          </cell>
        </row>
        <row r="180">
          <cell r="A180">
            <v>10</v>
          </cell>
          <cell r="B180">
            <v>2011</v>
          </cell>
          <cell r="D180">
            <v>102.29</v>
          </cell>
        </row>
        <row r="181">
          <cell r="A181">
            <v>9</v>
          </cell>
          <cell r="B181">
            <v>2011</v>
          </cell>
          <cell r="D181">
            <v>98.71</v>
          </cell>
        </row>
        <row r="182">
          <cell r="A182">
            <v>8</v>
          </cell>
          <cell r="B182">
            <v>2011</v>
          </cell>
          <cell r="D182">
            <v>105.88</v>
          </cell>
        </row>
        <row r="183">
          <cell r="A183">
            <v>7</v>
          </cell>
          <cell r="B183">
            <v>2011</v>
          </cell>
          <cell r="D183">
            <v>102.08</v>
          </cell>
        </row>
        <row r="184">
          <cell r="A184">
            <v>6</v>
          </cell>
          <cell r="B184">
            <v>2011</v>
          </cell>
          <cell r="D184">
            <v>159.79</v>
          </cell>
        </row>
        <row r="185">
          <cell r="A185">
            <v>5</v>
          </cell>
          <cell r="B185">
            <v>2011</v>
          </cell>
          <cell r="D185">
            <v>158.66999999999999</v>
          </cell>
        </row>
        <row r="186">
          <cell r="A186">
            <v>4</v>
          </cell>
          <cell r="B186">
            <v>2011</v>
          </cell>
          <cell r="D186">
            <v>178.78</v>
          </cell>
        </row>
        <row r="187">
          <cell r="A187">
            <v>3</v>
          </cell>
          <cell r="B187">
            <v>2011</v>
          </cell>
          <cell r="D187">
            <v>200.23</v>
          </cell>
        </row>
        <row r="188">
          <cell r="A188">
            <v>2</v>
          </cell>
          <cell r="B188">
            <v>2011</v>
          </cell>
          <cell r="D188">
            <v>196.52</v>
          </cell>
        </row>
        <row r="189">
          <cell r="A189">
            <v>1</v>
          </cell>
          <cell r="B189">
            <v>2011</v>
          </cell>
          <cell r="D189">
            <v>168.44</v>
          </cell>
        </row>
        <row r="190">
          <cell r="A190">
            <v>12</v>
          </cell>
          <cell r="B190">
            <v>2010</v>
          </cell>
          <cell r="D190">
            <v>144.81</v>
          </cell>
        </row>
        <row r="191">
          <cell r="A191">
            <v>11</v>
          </cell>
          <cell r="B191">
            <v>2010</v>
          </cell>
          <cell r="D191">
            <v>126.23</v>
          </cell>
        </row>
        <row r="192">
          <cell r="A192">
            <v>10</v>
          </cell>
          <cell r="B192">
            <v>2010</v>
          </cell>
          <cell r="D192">
            <v>125.26</v>
          </cell>
        </row>
        <row r="193">
          <cell r="A193">
            <v>9</v>
          </cell>
          <cell r="B193">
            <v>2010</v>
          </cell>
          <cell r="D193">
            <v>104.18</v>
          </cell>
        </row>
        <row r="194">
          <cell r="A194">
            <v>8</v>
          </cell>
          <cell r="B194">
            <v>2010</v>
          </cell>
          <cell r="D194">
            <v>89.08</v>
          </cell>
        </row>
        <row r="195">
          <cell r="A195">
            <v>7</v>
          </cell>
          <cell r="B195">
            <v>2010</v>
          </cell>
          <cell r="D195">
            <v>82.36</v>
          </cell>
        </row>
        <row r="196">
          <cell r="A196">
            <v>6</v>
          </cell>
          <cell r="B196">
            <v>2010</v>
          </cell>
          <cell r="D196">
            <v>82.6</v>
          </cell>
        </row>
        <row r="197">
          <cell r="A197">
            <v>5</v>
          </cell>
          <cell r="B197">
            <v>2010</v>
          </cell>
          <cell r="D197">
            <v>80.05</v>
          </cell>
        </row>
        <row r="198">
          <cell r="A198">
            <v>4</v>
          </cell>
          <cell r="B198">
            <v>2010</v>
          </cell>
          <cell r="D198">
            <v>82.76</v>
          </cell>
        </row>
        <row r="199">
          <cell r="A199">
            <v>3</v>
          </cell>
          <cell r="B199">
            <v>2010</v>
          </cell>
          <cell r="D199">
            <v>80.55</v>
          </cell>
        </row>
        <row r="200">
          <cell r="A200">
            <v>2</v>
          </cell>
          <cell r="B200">
            <v>2010</v>
          </cell>
          <cell r="D200">
            <v>82.61</v>
          </cell>
        </row>
        <row r="201">
          <cell r="A201">
            <v>1</v>
          </cell>
          <cell r="B201">
            <v>2010</v>
          </cell>
          <cell r="D201">
            <v>69.03</v>
          </cell>
        </row>
        <row r="202">
          <cell r="A202">
            <v>12</v>
          </cell>
          <cell r="B202">
            <v>2009</v>
          </cell>
          <cell r="D202">
            <v>75.599999999999994</v>
          </cell>
        </row>
        <row r="203">
          <cell r="A203">
            <v>11</v>
          </cell>
          <cell r="B203">
            <v>2009</v>
          </cell>
          <cell r="D203">
            <v>70.75</v>
          </cell>
        </row>
        <row r="204">
          <cell r="A204">
            <v>10</v>
          </cell>
          <cell r="B204">
            <v>2009</v>
          </cell>
          <cell r="D204">
            <v>67.64</v>
          </cell>
        </row>
        <row r="205">
          <cell r="A205">
            <v>9</v>
          </cell>
          <cell r="B205">
            <v>2009</v>
          </cell>
          <cell r="D205">
            <v>61.34</v>
          </cell>
        </row>
        <row r="206">
          <cell r="A206">
            <v>8</v>
          </cell>
          <cell r="B206">
            <v>2009</v>
          </cell>
          <cell r="D206">
            <v>57.76</v>
          </cell>
        </row>
        <row r="207">
          <cell r="A207">
            <v>7</v>
          </cell>
          <cell r="B207">
            <v>2009</v>
          </cell>
          <cell r="D207">
            <v>57.93</v>
          </cell>
        </row>
        <row r="208">
          <cell r="A208">
            <v>6</v>
          </cell>
          <cell r="B208">
            <v>2009</v>
          </cell>
          <cell r="D208">
            <v>53.3</v>
          </cell>
        </row>
        <row r="209">
          <cell r="A209">
            <v>5</v>
          </cell>
          <cell r="B209">
            <v>2009</v>
          </cell>
          <cell r="D209">
            <v>56.97</v>
          </cell>
        </row>
        <row r="210">
          <cell r="A210">
            <v>4</v>
          </cell>
          <cell r="B210">
            <v>2009</v>
          </cell>
          <cell r="D210">
            <v>53.49</v>
          </cell>
        </row>
        <row r="211">
          <cell r="A211">
            <v>3</v>
          </cell>
          <cell r="B211">
            <v>2009</v>
          </cell>
          <cell r="D211">
            <v>46.47</v>
          </cell>
        </row>
        <row r="212">
          <cell r="A212">
            <v>2</v>
          </cell>
          <cell r="B212">
            <v>2009</v>
          </cell>
          <cell r="D212">
            <v>42.06</v>
          </cell>
        </row>
        <row r="213">
          <cell r="A213">
            <v>1</v>
          </cell>
          <cell r="B213">
            <v>2009</v>
          </cell>
          <cell r="D213">
            <v>49.41</v>
          </cell>
        </row>
        <row r="214">
          <cell r="A214">
            <v>12</v>
          </cell>
          <cell r="B214">
            <v>2008</v>
          </cell>
          <cell r="D214">
            <v>49.02</v>
          </cell>
        </row>
        <row r="215">
          <cell r="A215">
            <v>11</v>
          </cell>
          <cell r="B215">
            <v>2008</v>
          </cell>
          <cell r="D215">
            <v>45.75</v>
          </cell>
        </row>
        <row r="216">
          <cell r="A216">
            <v>10</v>
          </cell>
          <cell r="B216">
            <v>2008</v>
          </cell>
          <cell r="D216">
            <v>44.29</v>
          </cell>
        </row>
        <row r="217">
          <cell r="A217">
            <v>9</v>
          </cell>
          <cell r="B217">
            <v>2008</v>
          </cell>
          <cell r="D217">
            <v>55.5</v>
          </cell>
        </row>
        <row r="218">
          <cell r="A218">
            <v>8</v>
          </cell>
          <cell r="B218">
            <v>2008</v>
          </cell>
          <cell r="D218">
            <v>67.53</v>
          </cell>
        </row>
        <row r="219">
          <cell r="A219">
            <v>7</v>
          </cell>
          <cell r="B219">
            <v>2008</v>
          </cell>
          <cell r="D219">
            <v>71.650000000000006</v>
          </cell>
        </row>
        <row r="220">
          <cell r="A220">
            <v>6</v>
          </cell>
          <cell r="B220">
            <v>2008</v>
          </cell>
          <cell r="D220">
            <v>71.400000000000006</v>
          </cell>
        </row>
        <row r="221">
          <cell r="A221">
            <v>5</v>
          </cell>
          <cell r="B221">
            <v>2008</v>
          </cell>
          <cell r="D221">
            <v>65.739999999999995</v>
          </cell>
        </row>
        <row r="222">
          <cell r="A222">
            <v>4</v>
          </cell>
          <cell r="B222">
            <v>2008</v>
          </cell>
          <cell r="D222">
            <v>68.739999999999995</v>
          </cell>
        </row>
        <row r="223">
          <cell r="A223">
            <v>3</v>
          </cell>
          <cell r="B223">
            <v>2008</v>
          </cell>
          <cell r="D223">
            <v>69.34</v>
          </cell>
        </row>
        <row r="224">
          <cell r="A224">
            <v>2</v>
          </cell>
          <cell r="B224">
            <v>2008</v>
          </cell>
          <cell r="D224">
            <v>79.66</v>
          </cell>
        </row>
        <row r="225">
          <cell r="A225">
            <v>1</v>
          </cell>
          <cell r="B225">
            <v>2008</v>
          </cell>
          <cell r="D225">
            <v>67.790000000000006</v>
          </cell>
        </row>
        <row r="226">
          <cell r="A226">
            <v>12</v>
          </cell>
          <cell r="B226">
            <v>2007</v>
          </cell>
          <cell r="D226">
            <v>68.010000000000005</v>
          </cell>
        </row>
        <row r="227">
          <cell r="A227">
            <v>11</v>
          </cell>
          <cell r="B227">
            <v>2007</v>
          </cell>
          <cell r="D227">
            <v>58.2</v>
          </cell>
        </row>
        <row r="228">
          <cell r="A228">
            <v>10</v>
          </cell>
          <cell r="B228">
            <v>2007</v>
          </cell>
          <cell r="D228">
            <v>64.08</v>
          </cell>
        </row>
        <row r="229">
          <cell r="A229">
            <v>9</v>
          </cell>
          <cell r="B229">
            <v>2007</v>
          </cell>
          <cell r="D229">
            <v>62.05</v>
          </cell>
        </row>
        <row r="230">
          <cell r="A230">
            <v>8</v>
          </cell>
          <cell r="B230">
            <v>2007</v>
          </cell>
          <cell r="D230">
            <v>58.87</v>
          </cell>
        </row>
        <row r="231">
          <cell r="A231">
            <v>7</v>
          </cell>
          <cell r="B231">
            <v>2007</v>
          </cell>
          <cell r="D231">
            <v>63</v>
          </cell>
        </row>
        <row r="232">
          <cell r="A232">
            <v>6</v>
          </cell>
          <cell r="B232">
            <v>2007</v>
          </cell>
          <cell r="D232">
            <v>58.5</v>
          </cell>
        </row>
        <row r="233">
          <cell r="A233">
            <v>5</v>
          </cell>
          <cell r="B233">
            <v>2007</v>
          </cell>
          <cell r="D233">
            <v>51.05</v>
          </cell>
        </row>
        <row r="234">
          <cell r="A234">
            <v>4</v>
          </cell>
          <cell r="B234">
            <v>2007</v>
          </cell>
          <cell r="D234">
            <v>47.25</v>
          </cell>
        </row>
        <row r="235">
          <cell r="A235">
            <v>3</v>
          </cell>
          <cell r="B235">
            <v>2007</v>
          </cell>
          <cell r="D235">
            <v>53.57</v>
          </cell>
        </row>
        <row r="236">
          <cell r="A236">
            <v>2</v>
          </cell>
          <cell r="B236">
            <v>2007</v>
          </cell>
          <cell r="D236">
            <v>55.55</v>
          </cell>
        </row>
        <row r="237">
          <cell r="A237">
            <v>1</v>
          </cell>
          <cell r="B237">
            <v>2007</v>
          </cell>
          <cell r="D237">
            <v>54</v>
          </cell>
        </row>
        <row r="238">
          <cell r="A238">
            <v>12</v>
          </cell>
          <cell r="B238">
            <v>2006</v>
          </cell>
          <cell r="D238">
            <v>56.19</v>
          </cell>
        </row>
        <row r="239">
          <cell r="A239">
            <v>11</v>
          </cell>
          <cell r="B239">
            <v>2006</v>
          </cell>
          <cell r="D239">
            <v>48.9</v>
          </cell>
        </row>
        <row r="240">
          <cell r="A240">
            <v>10</v>
          </cell>
          <cell r="B240">
            <v>2006</v>
          </cell>
          <cell r="D240">
            <v>49.28</v>
          </cell>
        </row>
        <row r="241">
          <cell r="A241">
            <v>9</v>
          </cell>
          <cell r="B241">
            <v>2006</v>
          </cell>
          <cell r="D241">
            <v>49.3</v>
          </cell>
        </row>
        <row r="242">
          <cell r="A242">
            <v>8</v>
          </cell>
          <cell r="B242">
            <v>2006</v>
          </cell>
          <cell r="D242">
            <v>53.05</v>
          </cell>
        </row>
        <row r="243">
          <cell r="A243">
            <v>7</v>
          </cell>
          <cell r="B243">
            <v>2006</v>
          </cell>
          <cell r="D243">
            <v>53.45</v>
          </cell>
        </row>
        <row r="244">
          <cell r="A244">
            <v>6</v>
          </cell>
          <cell r="B244">
            <v>2006</v>
          </cell>
          <cell r="D244">
            <v>49.75</v>
          </cell>
        </row>
        <row r="245">
          <cell r="A245">
            <v>5</v>
          </cell>
          <cell r="B245">
            <v>2006</v>
          </cell>
          <cell r="D245">
            <v>50.94</v>
          </cell>
        </row>
        <row r="246">
          <cell r="A246">
            <v>4</v>
          </cell>
          <cell r="B246">
            <v>2006</v>
          </cell>
          <cell r="D246">
            <v>49.9</v>
          </cell>
        </row>
        <row r="247">
          <cell r="A247">
            <v>3</v>
          </cell>
          <cell r="B247">
            <v>2006</v>
          </cell>
          <cell r="D247">
            <v>52.65</v>
          </cell>
        </row>
        <row r="248">
          <cell r="A248">
            <v>2</v>
          </cell>
          <cell r="B248">
            <v>2006</v>
          </cell>
          <cell r="D248">
            <v>56</v>
          </cell>
        </row>
        <row r="249">
          <cell r="A249">
            <v>1</v>
          </cell>
          <cell r="B249">
            <v>2006</v>
          </cell>
          <cell r="D249">
            <v>55.72</v>
          </cell>
        </row>
        <row r="250">
          <cell r="A250">
            <v>12</v>
          </cell>
          <cell r="B250">
            <v>2005</v>
          </cell>
          <cell r="D250">
            <v>54.19</v>
          </cell>
        </row>
        <row r="251">
          <cell r="A251">
            <v>11</v>
          </cell>
          <cell r="B251">
            <v>2005</v>
          </cell>
          <cell r="D251">
            <v>49.19</v>
          </cell>
        </row>
        <row r="252">
          <cell r="A252">
            <v>10</v>
          </cell>
          <cell r="B252">
            <v>2005</v>
          </cell>
          <cell r="D252">
            <v>51.87</v>
          </cell>
        </row>
        <row r="253">
          <cell r="A253">
            <v>9</v>
          </cell>
          <cell r="B253">
            <v>2005</v>
          </cell>
          <cell r="D253">
            <v>51.5</v>
          </cell>
        </row>
        <row r="254">
          <cell r="A254">
            <v>8</v>
          </cell>
          <cell r="B254">
            <v>2005</v>
          </cell>
          <cell r="D254">
            <v>48.15</v>
          </cell>
        </row>
        <row r="255">
          <cell r="A255">
            <v>7</v>
          </cell>
          <cell r="B255">
            <v>2005</v>
          </cell>
          <cell r="D255">
            <v>50.99</v>
          </cell>
        </row>
        <row r="256">
          <cell r="A256">
            <v>6</v>
          </cell>
          <cell r="B256">
            <v>2005</v>
          </cell>
          <cell r="D256">
            <v>52</v>
          </cell>
        </row>
        <row r="257">
          <cell r="A257">
            <v>5</v>
          </cell>
          <cell r="B257">
            <v>2005</v>
          </cell>
          <cell r="D257">
            <v>48.64</v>
          </cell>
        </row>
        <row r="258">
          <cell r="A258">
            <v>4</v>
          </cell>
          <cell r="B258">
            <v>2005</v>
          </cell>
          <cell r="D258">
            <v>58</v>
          </cell>
        </row>
        <row r="259">
          <cell r="A259">
            <v>3</v>
          </cell>
          <cell r="B259">
            <v>2005</v>
          </cell>
          <cell r="D259">
            <v>53.03</v>
          </cell>
        </row>
        <row r="260">
          <cell r="A260">
            <v>2</v>
          </cell>
          <cell r="B260">
            <v>2005</v>
          </cell>
          <cell r="D260">
            <v>50.3</v>
          </cell>
        </row>
        <row r="261">
          <cell r="A261">
            <v>1</v>
          </cell>
          <cell r="B261">
            <v>2005</v>
          </cell>
          <cell r="D261">
            <v>43.76</v>
          </cell>
        </row>
        <row r="262">
          <cell r="A262">
            <v>12</v>
          </cell>
          <cell r="B262">
            <v>2004</v>
          </cell>
          <cell r="D262">
            <v>44.77</v>
          </cell>
        </row>
        <row r="263">
          <cell r="A263">
            <v>11</v>
          </cell>
          <cell r="B263">
            <v>2004</v>
          </cell>
          <cell r="D263">
            <v>48.65</v>
          </cell>
        </row>
        <row r="264">
          <cell r="A264">
            <v>10</v>
          </cell>
          <cell r="B264">
            <v>2004</v>
          </cell>
          <cell r="D264">
            <v>44.98</v>
          </cell>
        </row>
        <row r="265">
          <cell r="A265">
            <v>9</v>
          </cell>
          <cell r="B265">
            <v>2004</v>
          </cell>
          <cell r="D265">
            <v>48.1</v>
          </cell>
        </row>
      </sheetData>
      <sheetData sheetId="13">
        <row r="15">
          <cell r="S15">
            <v>1.1393726422407111</v>
          </cell>
          <cell r="T15">
            <v>0.40433643078389325</v>
          </cell>
        </row>
        <row r="16">
          <cell r="S16">
            <v>1.2250619619966421</v>
          </cell>
          <cell r="T16">
            <v>0.4533863293158959</v>
          </cell>
          <cell r="V16">
            <v>6.2391248286439458</v>
          </cell>
          <cell r="W16">
            <v>4.3954146813065399E-2</v>
          </cell>
        </row>
        <row r="17">
          <cell r="S17">
            <v>1.2602787636985413</v>
          </cell>
          <cell r="T17">
            <v>0.54027626497673042</v>
          </cell>
          <cell r="V17">
            <v>7.9327973647304395</v>
          </cell>
          <cell r="W17">
            <v>7.1323529411764716E-2</v>
          </cell>
        </row>
        <row r="18">
          <cell r="S18">
            <v>1.24140848737308</v>
          </cell>
          <cell r="T18">
            <v>0.49574014909478165</v>
          </cell>
          <cell r="V18">
            <v>9.1635437686172772</v>
          </cell>
          <cell r="W18">
            <v>9.2044555760611657E-2</v>
          </cell>
        </row>
        <row r="19">
          <cell r="S19">
            <v>1.08765126776796</v>
          </cell>
          <cell r="T19">
            <v>0.32728908467635603</v>
          </cell>
          <cell r="V19">
            <v>8.1264576082666569</v>
          </cell>
          <cell r="W19">
            <v>4.985822306238185E-2</v>
          </cell>
        </row>
        <row r="20">
          <cell r="S20">
            <v>1.0648318412775224</v>
          </cell>
          <cell r="T20">
            <v>0.38811981855154076</v>
          </cell>
          <cell r="V20">
            <v>10.258026921508071</v>
          </cell>
          <cell r="W20">
            <v>6.5870250539240088E-2</v>
          </cell>
        </row>
        <row r="21">
          <cell r="S21">
            <v>1.1264304458797167</v>
          </cell>
          <cell r="T21">
            <v>0.41539779766798279</v>
          </cell>
          <cell r="V21">
            <v>9.3318111877698922</v>
          </cell>
          <cell r="W21">
            <v>5.6692477876106193E-2</v>
          </cell>
        </row>
        <row r="22">
          <cell r="S22">
            <v>1.0000554557352321</v>
          </cell>
          <cell r="T22">
            <v>0.35021390906377475</v>
          </cell>
          <cell r="V22">
            <v>7.0899941026145079</v>
          </cell>
          <cell r="W22">
            <v>4.9823071479122433E-2</v>
          </cell>
        </row>
        <row r="23">
          <cell r="S23">
            <v>0.99611964067424053</v>
          </cell>
          <cell r="T23">
            <v>0.36441558441558441</v>
          </cell>
          <cell r="V23">
            <v>6.3077272694992654</v>
          </cell>
          <cell r="W23">
            <v>4.4607656110899147E-2</v>
          </cell>
        </row>
        <row r="24">
          <cell r="S24">
            <v>1.1743758212877793</v>
          </cell>
          <cell r="T24">
            <v>0.41946308724832215</v>
          </cell>
          <cell r="V24">
            <v>6.5125667689303119</v>
          </cell>
          <cell r="W24">
            <v>5.1939058171745149E-2</v>
          </cell>
        </row>
        <row r="25">
          <cell r="S25">
            <v>1.0849149410946086</v>
          </cell>
          <cell r="T25">
            <v>0.41096979332273448</v>
          </cell>
          <cell r="V25">
            <v>7.4823763031606818</v>
          </cell>
          <cell r="W25">
            <v>5.6154960173787113E-2</v>
          </cell>
        </row>
        <row r="26">
          <cell r="S26">
            <v>1.0654395320832617</v>
          </cell>
          <cell r="T26">
            <v>0.36939515359664188</v>
          </cell>
          <cell r="V26">
            <v>8.2899210279748363</v>
          </cell>
          <cell r="W26">
            <v>6.1955965181771627E-2</v>
          </cell>
        </row>
        <row r="27">
          <cell r="S27">
            <v>1.0081417953116065</v>
          </cell>
          <cell r="T27">
            <v>0.44647224835371591</v>
          </cell>
          <cell r="V27">
            <v>6.4122481635028006</v>
          </cell>
          <cell r="W27">
            <v>5.2686500888099473E-2</v>
          </cell>
        </row>
        <row r="28">
          <cell r="S28">
            <v>1.1320693779904307</v>
          </cell>
          <cell r="T28">
            <v>0.44520997375328086</v>
          </cell>
          <cell r="V28">
            <v>9.2513196480938422</v>
          </cell>
          <cell r="W28">
            <v>8.138419095597936E-2</v>
          </cell>
        </row>
        <row r="29">
          <cell r="S29">
            <v>1.0418175567270227</v>
          </cell>
          <cell r="T29">
            <v>0.36432160804020103</v>
          </cell>
          <cell r="V29">
            <v>8.1292139855137258</v>
          </cell>
          <cell r="W29">
            <v>5.8179012345679015E-2</v>
          </cell>
        </row>
        <row r="30">
          <cell r="S30">
            <v>1.2163762851689959</v>
          </cell>
          <cell r="T30">
            <v>0.4593037816178312</v>
          </cell>
          <cell r="V30">
            <v>10.626936316695353</v>
          </cell>
          <cell r="W30">
            <v>6.7032163742690054E-2</v>
          </cell>
        </row>
        <row r="31">
          <cell r="S31">
            <v>1.1136593785960875</v>
          </cell>
          <cell r="T31">
            <v>0.42792362768496423</v>
          </cell>
          <cell r="V31">
            <v>9.2609569377990439</v>
          </cell>
          <cell r="W31">
            <v>6.8330792682926828E-2</v>
          </cell>
        </row>
        <row r="32">
          <cell r="S32">
            <v>1.0954402725949062</v>
          </cell>
          <cell r="T32">
            <v>0.39928157992046065</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16"/>
  <sheetViews>
    <sheetView topLeftCell="A687" workbookViewId="0">
      <selection activeCell="Q694" sqref="Q694"/>
    </sheetView>
  </sheetViews>
  <sheetFormatPr defaultRowHeight="14.25" x14ac:dyDescent="0.45"/>
  <sheetData>
    <row r="1" spans="1:2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45">
      <c r="A2" t="s">
        <v>21</v>
      </c>
      <c r="B2">
        <v>2026</v>
      </c>
      <c r="C2" t="s">
        <v>22</v>
      </c>
      <c r="D2" s="1">
        <v>46180</v>
      </c>
      <c r="E2" t="s">
        <v>23</v>
      </c>
      <c r="F2" t="s">
        <v>24</v>
      </c>
      <c r="G2">
        <v>48</v>
      </c>
      <c r="N2" s="2" t="s">
        <v>25</v>
      </c>
      <c r="P2" t="s">
        <v>26</v>
      </c>
      <c r="Q2" t="s">
        <v>27</v>
      </c>
      <c r="R2" t="s">
        <v>28</v>
      </c>
      <c r="S2" t="s">
        <v>29</v>
      </c>
      <c r="T2">
        <v>13</v>
      </c>
    </row>
    <row r="3" spans="1:21" x14ac:dyDescent="0.45">
      <c r="A3" t="s">
        <v>21</v>
      </c>
      <c r="B3">
        <v>2026</v>
      </c>
      <c r="C3" t="s">
        <v>22</v>
      </c>
      <c r="D3" s="1">
        <v>46180</v>
      </c>
      <c r="E3" t="s">
        <v>23</v>
      </c>
      <c r="F3" t="s">
        <v>24</v>
      </c>
      <c r="G3">
        <v>48</v>
      </c>
      <c r="N3" s="2" t="s">
        <v>25</v>
      </c>
      <c r="P3" t="s">
        <v>26</v>
      </c>
      <c r="Q3" t="s">
        <v>30</v>
      </c>
      <c r="R3" t="s">
        <v>28</v>
      </c>
      <c r="S3" t="s">
        <v>29</v>
      </c>
      <c r="T3">
        <v>34</v>
      </c>
    </row>
    <row r="4" spans="1:21" x14ac:dyDescent="0.45">
      <c r="A4" t="s">
        <v>21</v>
      </c>
      <c r="B4">
        <v>2026</v>
      </c>
      <c r="C4" t="s">
        <v>22</v>
      </c>
      <c r="D4" s="1">
        <v>46180</v>
      </c>
      <c r="E4" t="s">
        <v>23</v>
      </c>
      <c r="F4" t="s">
        <v>24</v>
      </c>
      <c r="G4">
        <v>48</v>
      </c>
      <c r="N4" s="2" t="s">
        <v>25</v>
      </c>
      <c r="P4" t="s">
        <v>26</v>
      </c>
      <c r="Q4" t="s">
        <v>31</v>
      </c>
      <c r="R4" t="s">
        <v>28</v>
      </c>
      <c r="S4" t="s">
        <v>29</v>
      </c>
      <c r="T4">
        <v>32</v>
      </c>
    </row>
    <row r="5" spans="1:21" x14ac:dyDescent="0.45">
      <c r="A5" t="s">
        <v>21</v>
      </c>
      <c r="B5">
        <v>2026</v>
      </c>
      <c r="C5" t="s">
        <v>22</v>
      </c>
      <c r="D5" s="1">
        <v>46180</v>
      </c>
      <c r="E5" t="s">
        <v>23</v>
      </c>
      <c r="F5" t="s">
        <v>24</v>
      </c>
      <c r="G5">
        <v>48</v>
      </c>
      <c r="N5" s="2" t="s">
        <v>25</v>
      </c>
      <c r="P5" t="s">
        <v>26</v>
      </c>
      <c r="Q5" t="s">
        <v>32</v>
      </c>
      <c r="R5" t="s">
        <v>28</v>
      </c>
      <c r="S5" t="s">
        <v>29</v>
      </c>
      <c r="T5">
        <v>13</v>
      </c>
    </row>
    <row r="6" spans="1:21" x14ac:dyDescent="0.45">
      <c r="A6" t="s">
        <v>21</v>
      </c>
      <c r="B6">
        <v>2026</v>
      </c>
      <c r="C6" t="s">
        <v>22</v>
      </c>
      <c r="D6" s="1">
        <v>46180</v>
      </c>
      <c r="E6" t="s">
        <v>23</v>
      </c>
      <c r="F6" t="s">
        <v>24</v>
      </c>
      <c r="G6">
        <v>48</v>
      </c>
      <c r="N6" s="2" t="s">
        <v>25</v>
      </c>
      <c r="P6" t="s">
        <v>26</v>
      </c>
      <c r="Q6" t="s">
        <v>33</v>
      </c>
      <c r="R6" t="s">
        <v>28</v>
      </c>
      <c r="S6" t="s">
        <v>29</v>
      </c>
      <c r="T6">
        <v>8</v>
      </c>
    </row>
    <row r="7" spans="1:21" x14ac:dyDescent="0.45">
      <c r="A7" t="s">
        <v>21</v>
      </c>
      <c r="B7">
        <v>2026</v>
      </c>
      <c r="C7" t="s">
        <v>34</v>
      </c>
      <c r="D7" s="1">
        <v>46187</v>
      </c>
      <c r="E7" t="s">
        <v>23</v>
      </c>
      <c r="F7" t="s">
        <v>24</v>
      </c>
      <c r="G7">
        <v>48</v>
      </c>
      <c r="N7" s="2" t="s">
        <v>25</v>
      </c>
      <c r="P7" t="s">
        <v>26</v>
      </c>
      <c r="Q7" t="s">
        <v>27</v>
      </c>
      <c r="R7" t="s">
        <v>28</v>
      </c>
      <c r="S7" t="s">
        <v>29</v>
      </c>
      <c r="T7">
        <v>10</v>
      </c>
    </row>
    <row r="8" spans="1:21" x14ac:dyDescent="0.45">
      <c r="A8" t="s">
        <v>21</v>
      </c>
      <c r="B8">
        <v>2026</v>
      </c>
      <c r="C8" t="s">
        <v>34</v>
      </c>
      <c r="D8" s="1">
        <v>46187</v>
      </c>
      <c r="E8" t="s">
        <v>23</v>
      </c>
      <c r="F8" t="s">
        <v>24</v>
      </c>
      <c r="G8">
        <v>48</v>
      </c>
      <c r="N8" s="2" t="s">
        <v>25</v>
      </c>
      <c r="P8" t="s">
        <v>26</v>
      </c>
      <c r="Q8" t="s">
        <v>30</v>
      </c>
      <c r="R8" t="s">
        <v>28</v>
      </c>
      <c r="S8" t="s">
        <v>29</v>
      </c>
      <c r="T8">
        <v>43</v>
      </c>
    </row>
    <row r="9" spans="1:21" x14ac:dyDescent="0.45">
      <c r="A9" t="s">
        <v>21</v>
      </c>
      <c r="B9">
        <v>2026</v>
      </c>
      <c r="C9" t="s">
        <v>34</v>
      </c>
      <c r="D9" s="1">
        <v>46187</v>
      </c>
      <c r="E9" t="s">
        <v>23</v>
      </c>
      <c r="F9" t="s">
        <v>24</v>
      </c>
      <c r="G9">
        <v>48</v>
      </c>
      <c r="N9" s="2" t="s">
        <v>25</v>
      </c>
      <c r="P9" t="s">
        <v>26</v>
      </c>
      <c r="Q9" t="s">
        <v>31</v>
      </c>
      <c r="R9" t="s">
        <v>28</v>
      </c>
      <c r="S9" t="s">
        <v>29</v>
      </c>
      <c r="T9">
        <v>32</v>
      </c>
    </row>
    <row r="10" spans="1:21" x14ac:dyDescent="0.45">
      <c r="A10" t="s">
        <v>21</v>
      </c>
      <c r="B10">
        <v>2026</v>
      </c>
      <c r="C10" t="s">
        <v>34</v>
      </c>
      <c r="D10" s="1">
        <v>46187</v>
      </c>
      <c r="E10" t="s">
        <v>23</v>
      </c>
      <c r="F10" t="s">
        <v>24</v>
      </c>
      <c r="G10">
        <v>48</v>
      </c>
      <c r="N10" s="2" t="s">
        <v>25</v>
      </c>
      <c r="P10" t="s">
        <v>26</v>
      </c>
      <c r="Q10" t="s">
        <v>32</v>
      </c>
      <c r="R10" t="s">
        <v>28</v>
      </c>
      <c r="S10" t="s">
        <v>29</v>
      </c>
      <c r="T10">
        <v>12</v>
      </c>
    </row>
    <row r="11" spans="1:21" x14ac:dyDescent="0.45">
      <c r="A11" t="s">
        <v>21</v>
      </c>
      <c r="B11">
        <v>2026</v>
      </c>
      <c r="C11" t="s">
        <v>34</v>
      </c>
      <c r="D11" s="1">
        <v>46187</v>
      </c>
      <c r="E11" t="s">
        <v>23</v>
      </c>
      <c r="F11" t="s">
        <v>24</v>
      </c>
      <c r="G11">
        <v>48</v>
      </c>
      <c r="N11" s="2" t="s">
        <v>25</v>
      </c>
      <c r="P11" t="s">
        <v>26</v>
      </c>
      <c r="Q11" t="s">
        <v>33</v>
      </c>
      <c r="R11" t="s">
        <v>28</v>
      </c>
      <c r="S11" t="s">
        <v>29</v>
      </c>
      <c r="T11">
        <v>3</v>
      </c>
    </row>
    <row r="12" spans="1:21" x14ac:dyDescent="0.45">
      <c r="A12" t="s">
        <v>21</v>
      </c>
      <c r="B12">
        <v>2026</v>
      </c>
      <c r="C12" t="s">
        <v>35</v>
      </c>
      <c r="D12" s="1">
        <v>46194</v>
      </c>
      <c r="E12" t="s">
        <v>23</v>
      </c>
      <c r="F12" t="s">
        <v>24</v>
      </c>
      <c r="G12">
        <v>48</v>
      </c>
      <c r="N12" s="2" t="s">
        <v>25</v>
      </c>
      <c r="P12" t="s">
        <v>26</v>
      </c>
      <c r="Q12" t="s">
        <v>27</v>
      </c>
      <c r="R12" t="s">
        <v>28</v>
      </c>
      <c r="S12" t="s">
        <v>29</v>
      </c>
      <c r="T12">
        <v>7</v>
      </c>
    </row>
    <row r="13" spans="1:21" x14ac:dyDescent="0.45">
      <c r="A13" t="s">
        <v>21</v>
      </c>
      <c r="B13">
        <v>2026</v>
      </c>
      <c r="C13" t="s">
        <v>35</v>
      </c>
      <c r="D13" s="1">
        <v>46194</v>
      </c>
      <c r="E13" t="s">
        <v>23</v>
      </c>
      <c r="F13" t="s">
        <v>24</v>
      </c>
      <c r="G13">
        <v>48</v>
      </c>
      <c r="N13" s="2" t="s">
        <v>25</v>
      </c>
      <c r="P13" t="s">
        <v>26</v>
      </c>
      <c r="Q13" t="s">
        <v>30</v>
      </c>
      <c r="R13" t="s">
        <v>28</v>
      </c>
      <c r="S13" t="s">
        <v>29</v>
      </c>
      <c r="T13">
        <v>36</v>
      </c>
    </row>
    <row r="14" spans="1:21" x14ac:dyDescent="0.45">
      <c r="A14" t="s">
        <v>21</v>
      </c>
      <c r="B14">
        <v>2026</v>
      </c>
      <c r="C14" t="s">
        <v>35</v>
      </c>
      <c r="D14" s="1">
        <v>46194</v>
      </c>
      <c r="E14" t="s">
        <v>23</v>
      </c>
      <c r="F14" t="s">
        <v>24</v>
      </c>
      <c r="G14">
        <v>48</v>
      </c>
      <c r="N14" s="2" t="s">
        <v>25</v>
      </c>
      <c r="P14" t="s">
        <v>26</v>
      </c>
      <c r="Q14" t="s">
        <v>31</v>
      </c>
      <c r="R14" t="s">
        <v>28</v>
      </c>
      <c r="S14" t="s">
        <v>29</v>
      </c>
      <c r="T14">
        <v>37</v>
      </c>
    </row>
    <row r="15" spans="1:21" x14ac:dyDescent="0.45">
      <c r="A15" t="s">
        <v>21</v>
      </c>
      <c r="B15">
        <v>2026</v>
      </c>
      <c r="C15" t="s">
        <v>35</v>
      </c>
      <c r="D15" s="1">
        <v>46194</v>
      </c>
      <c r="E15" t="s">
        <v>23</v>
      </c>
      <c r="F15" t="s">
        <v>24</v>
      </c>
      <c r="G15">
        <v>48</v>
      </c>
      <c r="N15" s="2" t="s">
        <v>25</v>
      </c>
      <c r="P15" t="s">
        <v>26</v>
      </c>
      <c r="Q15" t="s">
        <v>32</v>
      </c>
      <c r="R15" t="s">
        <v>28</v>
      </c>
      <c r="S15" t="s">
        <v>29</v>
      </c>
      <c r="T15">
        <v>15</v>
      </c>
    </row>
    <row r="16" spans="1:21" x14ac:dyDescent="0.45">
      <c r="A16" t="s">
        <v>21</v>
      </c>
      <c r="B16">
        <v>2026</v>
      </c>
      <c r="C16" t="s">
        <v>35</v>
      </c>
      <c r="D16" s="1">
        <v>46194</v>
      </c>
      <c r="E16" t="s">
        <v>23</v>
      </c>
      <c r="F16" t="s">
        <v>24</v>
      </c>
      <c r="G16">
        <v>48</v>
      </c>
      <c r="N16" s="2" t="s">
        <v>25</v>
      </c>
      <c r="P16" t="s">
        <v>26</v>
      </c>
      <c r="Q16" t="s">
        <v>33</v>
      </c>
      <c r="R16" t="s">
        <v>28</v>
      </c>
      <c r="S16" t="s">
        <v>29</v>
      </c>
      <c r="T16">
        <v>5</v>
      </c>
    </row>
    <row r="17" spans="1:20" x14ac:dyDescent="0.45">
      <c r="A17" t="s">
        <v>21</v>
      </c>
      <c r="B17">
        <v>2026</v>
      </c>
      <c r="C17" t="s">
        <v>36</v>
      </c>
      <c r="D17" s="1">
        <v>46201</v>
      </c>
      <c r="E17" t="s">
        <v>23</v>
      </c>
      <c r="F17" t="s">
        <v>24</v>
      </c>
      <c r="G17">
        <v>48</v>
      </c>
      <c r="N17" s="2" t="s">
        <v>25</v>
      </c>
      <c r="P17" t="s">
        <v>26</v>
      </c>
      <c r="Q17" t="s">
        <v>27</v>
      </c>
      <c r="R17" t="s">
        <v>28</v>
      </c>
      <c r="S17" t="s">
        <v>29</v>
      </c>
      <c r="T17">
        <v>5</v>
      </c>
    </row>
    <row r="18" spans="1:20" x14ac:dyDescent="0.45">
      <c r="A18" t="s">
        <v>21</v>
      </c>
      <c r="B18">
        <v>2026</v>
      </c>
      <c r="C18" t="s">
        <v>36</v>
      </c>
      <c r="D18" s="1">
        <v>46201</v>
      </c>
      <c r="E18" t="s">
        <v>23</v>
      </c>
      <c r="F18" t="s">
        <v>24</v>
      </c>
      <c r="G18">
        <v>48</v>
      </c>
      <c r="N18" s="2" t="s">
        <v>25</v>
      </c>
      <c r="P18" t="s">
        <v>26</v>
      </c>
      <c r="Q18" t="s">
        <v>30</v>
      </c>
      <c r="R18" t="s">
        <v>28</v>
      </c>
      <c r="S18" t="s">
        <v>29</v>
      </c>
      <c r="T18">
        <v>36</v>
      </c>
    </row>
    <row r="19" spans="1:20" x14ac:dyDescent="0.45">
      <c r="A19" t="s">
        <v>21</v>
      </c>
      <c r="B19">
        <v>2026</v>
      </c>
      <c r="C19" t="s">
        <v>36</v>
      </c>
      <c r="D19" s="1">
        <v>46201</v>
      </c>
      <c r="E19" t="s">
        <v>23</v>
      </c>
      <c r="F19" t="s">
        <v>24</v>
      </c>
      <c r="G19">
        <v>48</v>
      </c>
      <c r="N19" s="2" t="s">
        <v>25</v>
      </c>
      <c r="P19" t="s">
        <v>26</v>
      </c>
      <c r="Q19" t="s">
        <v>31</v>
      </c>
      <c r="R19" t="s">
        <v>28</v>
      </c>
      <c r="S19" t="s">
        <v>29</v>
      </c>
      <c r="T19">
        <v>34</v>
      </c>
    </row>
    <row r="20" spans="1:20" x14ac:dyDescent="0.45">
      <c r="A20" t="s">
        <v>21</v>
      </c>
      <c r="B20">
        <v>2026</v>
      </c>
      <c r="C20" t="s">
        <v>36</v>
      </c>
      <c r="D20" s="1">
        <v>46201</v>
      </c>
      <c r="E20" t="s">
        <v>23</v>
      </c>
      <c r="F20" t="s">
        <v>24</v>
      </c>
      <c r="G20">
        <v>48</v>
      </c>
      <c r="N20" s="2" t="s">
        <v>25</v>
      </c>
      <c r="P20" t="s">
        <v>26</v>
      </c>
      <c r="Q20" t="s">
        <v>32</v>
      </c>
      <c r="R20" t="s">
        <v>28</v>
      </c>
      <c r="S20" t="s">
        <v>29</v>
      </c>
      <c r="T20">
        <v>18</v>
      </c>
    </row>
    <row r="21" spans="1:20" x14ac:dyDescent="0.45">
      <c r="A21" t="s">
        <v>21</v>
      </c>
      <c r="B21">
        <v>2026</v>
      </c>
      <c r="C21" t="s">
        <v>36</v>
      </c>
      <c r="D21" s="1">
        <v>46201</v>
      </c>
      <c r="E21" t="s">
        <v>23</v>
      </c>
      <c r="F21" t="s">
        <v>24</v>
      </c>
      <c r="G21">
        <v>48</v>
      </c>
      <c r="N21" s="2" t="s">
        <v>25</v>
      </c>
      <c r="P21" t="s">
        <v>26</v>
      </c>
      <c r="Q21" t="s">
        <v>33</v>
      </c>
      <c r="R21" t="s">
        <v>28</v>
      </c>
      <c r="S21" t="s">
        <v>29</v>
      </c>
      <c r="T21">
        <v>7</v>
      </c>
    </row>
    <row r="22" spans="1:20" x14ac:dyDescent="0.45">
      <c r="A22" t="s">
        <v>21</v>
      </c>
      <c r="B22">
        <v>2026</v>
      </c>
      <c r="C22" t="s">
        <v>37</v>
      </c>
      <c r="D22" s="1">
        <v>46208</v>
      </c>
      <c r="E22" t="s">
        <v>23</v>
      </c>
      <c r="F22" t="s">
        <v>24</v>
      </c>
      <c r="G22">
        <v>48</v>
      </c>
      <c r="N22" s="2" t="s">
        <v>25</v>
      </c>
      <c r="P22" t="s">
        <v>26</v>
      </c>
      <c r="Q22" t="s">
        <v>27</v>
      </c>
      <c r="R22" t="s">
        <v>28</v>
      </c>
      <c r="S22" t="s">
        <v>29</v>
      </c>
      <c r="T22">
        <v>5</v>
      </c>
    </row>
    <row r="23" spans="1:20" x14ac:dyDescent="0.45">
      <c r="A23" t="s">
        <v>21</v>
      </c>
      <c r="B23">
        <v>2026</v>
      </c>
      <c r="C23" t="s">
        <v>37</v>
      </c>
      <c r="D23" s="1">
        <v>46208</v>
      </c>
      <c r="E23" t="s">
        <v>23</v>
      </c>
      <c r="F23" t="s">
        <v>24</v>
      </c>
      <c r="G23">
        <v>48</v>
      </c>
      <c r="N23" s="2" t="s">
        <v>25</v>
      </c>
      <c r="P23" t="s">
        <v>26</v>
      </c>
      <c r="Q23" t="s">
        <v>30</v>
      </c>
      <c r="R23" t="s">
        <v>28</v>
      </c>
      <c r="S23" t="s">
        <v>29</v>
      </c>
      <c r="T23">
        <v>41</v>
      </c>
    </row>
    <row r="24" spans="1:20" x14ac:dyDescent="0.45">
      <c r="A24" t="s">
        <v>21</v>
      </c>
      <c r="B24">
        <v>2026</v>
      </c>
      <c r="C24" t="s">
        <v>37</v>
      </c>
      <c r="D24" s="1">
        <v>46208</v>
      </c>
      <c r="E24" t="s">
        <v>23</v>
      </c>
      <c r="F24" t="s">
        <v>24</v>
      </c>
      <c r="G24">
        <v>48</v>
      </c>
      <c r="N24" s="2" t="s">
        <v>25</v>
      </c>
      <c r="P24" t="s">
        <v>26</v>
      </c>
      <c r="Q24" t="s">
        <v>31</v>
      </c>
      <c r="R24" t="s">
        <v>28</v>
      </c>
      <c r="S24" t="s">
        <v>29</v>
      </c>
      <c r="T24">
        <v>31</v>
      </c>
    </row>
    <row r="25" spans="1:20" x14ac:dyDescent="0.45">
      <c r="A25" t="s">
        <v>21</v>
      </c>
      <c r="B25">
        <v>2026</v>
      </c>
      <c r="C25" t="s">
        <v>37</v>
      </c>
      <c r="D25" s="1">
        <v>46208</v>
      </c>
      <c r="E25" t="s">
        <v>23</v>
      </c>
      <c r="F25" t="s">
        <v>24</v>
      </c>
      <c r="G25">
        <v>48</v>
      </c>
      <c r="N25" s="2" t="s">
        <v>25</v>
      </c>
      <c r="P25" t="s">
        <v>26</v>
      </c>
      <c r="Q25" t="s">
        <v>32</v>
      </c>
      <c r="R25" t="s">
        <v>28</v>
      </c>
      <c r="S25" t="s">
        <v>29</v>
      </c>
      <c r="T25">
        <v>15</v>
      </c>
    </row>
    <row r="26" spans="1:20" x14ac:dyDescent="0.45">
      <c r="A26" t="s">
        <v>21</v>
      </c>
      <c r="B26">
        <v>2026</v>
      </c>
      <c r="C26" t="s">
        <v>37</v>
      </c>
      <c r="D26" s="1">
        <v>46208</v>
      </c>
      <c r="E26" t="s">
        <v>23</v>
      </c>
      <c r="F26" t="s">
        <v>24</v>
      </c>
      <c r="G26">
        <v>48</v>
      </c>
      <c r="N26" s="2" t="s">
        <v>25</v>
      </c>
      <c r="P26" t="s">
        <v>26</v>
      </c>
      <c r="Q26" t="s">
        <v>33</v>
      </c>
      <c r="R26" t="s">
        <v>28</v>
      </c>
      <c r="S26" t="s">
        <v>29</v>
      </c>
      <c r="T26">
        <v>8</v>
      </c>
    </row>
    <row r="27" spans="1:20" x14ac:dyDescent="0.45">
      <c r="A27" t="s">
        <v>21</v>
      </c>
      <c r="B27">
        <v>2026</v>
      </c>
      <c r="C27" t="s">
        <v>38</v>
      </c>
      <c r="D27" s="1">
        <v>46215</v>
      </c>
      <c r="E27" t="s">
        <v>23</v>
      </c>
      <c r="F27" t="s">
        <v>24</v>
      </c>
      <c r="G27">
        <v>48</v>
      </c>
      <c r="N27" s="2" t="s">
        <v>25</v>
      </c>
      <c r="P27" t="s">
        <v>26</v>
      </c>
      <c r="Q27" t="s">
        <v>27</v>
      </c>
      <c r="R27" t="s">
        <v>28</v>
      </c>
      <c r="S27" t="s">
        <v>29</v>
      </c>
      <c r="T27">
        <v>5</v>
      </c>
    </row>
    <row r="28" spans="1:20" x14ac:dyDescent="0.45">
      <c r="A28" t="s">
        <v>21</v>
      </c>
      <c r="B28">
        <v>2026</v>
      </c>
      <c r="C28" t="s">
        <v>38</v>
      </c>
      <c r="D28" s="1">
        <v>46215</v>
      </c>
      <c r="E28" t="s">
        <v>23</v>
      </c>
      <c r="F28" t="s">
        <v>24</v>
      </c>
      <c r="G28">
        <v>48</v>
      </c>
      <c r="N28" s="2" t="s">
        <v>25</v>
      </c>
      <c r="P28" t="s">
        <v>26</v>
      </c>
      <c r="Q28" t="s">
        <v>30</v>
      </c>
      <c r="R28" t="s">
        <v>28</v>
      </c>
      <c r="S28" t="s">
        <v>29</v>
      </c>
      <c r="T28">
        <v>46</v>
      </c>
    </row>
    <row r="29" spans="1:20" x14ac:dyDescent="0.45">
      <c r="A29" t="s">
        <v>21</v>
      </c>
      <c r="B29">
        <v>2026</v>
      </c>
      <c r="C29" t="s">
        <v>38</v>
      </c>
      <c r="D29" s="1">
        <v>46215</v>
      </c>
      <c r="E29" t="s">
        <v>23</v>
      </c>
      <c r="F29" t="s">
        <v>24</v>
      </c>
      <c r="G29">
        <v>48</v>
      </c>
      <c r="N29" s="2" t="s">
        <v>25</v>
      </c>
      <c r="P29" t="s">
        <v>26</v>
      </c>
      <c r="Q29" t="s">
        <v>31</v>
      </c>
      <c r="R29" t="s">
        <v>28</v>
      </c>
      <c r="S29" t="s">
        <v>29</v>
      </c>
      <c r="T29">
        <v>25</v>
      </c>
    </row>
    <row r="30" spans="1:20" x14ac:dyDescent="0.45">
      <c r="A30" t="s">
        <v>21</v>
      </c>
      <c r="B30">
        <v>2026</v>
      </c>
      <c r="C30" t="s">
        <v>38</v>
      </c>
      <c r="D30" s="1">
        <v>46215</v>
      </c>
      <c r="E30" t="s">
        <v>23</v>
      </c>
      <c r="F30" t="s">
        <v>24</v>
      </c>
      <c r="G30">
        <v>48</v>
      </c>
      <c r="N30" s="2" t="s">
        <v>25</v>
      </c>
      <c r="P30" t="s">
        <v>26</v>
      </c>
      <c r="Q30" t="s">
        <v>32</v>
      </c>
      <c r="R30" t="s">
        <v>28</v>
      </c>
      <c r="S30" t="s">
        <v>29</v>
      </c>
      <c r="T30">
        <v>16</v>
      </c>
    </row>
    <row r="31" spans="1:20" x14ac:dyDescent="0.45">
      <c r="A31" t="s">
        <v>21</v>
      </c>
      <c r="B31">
        <v>2026</v>
      </c>
      <c r="C31" t="s">
        <v>38</v>
      </c>
      <c r="D31" s="1">
        <v>46215</v>
      </c>
      <c r="E31" t="s">
        <v>23</v>
      </c>
      <c r="F31" t="s">
        <v>24</v>
      </c>
      <c r="G31">
        <v>48</v>
      </c>
      <c r="N31" s="2" t="s">
        <v>25</v>
      </c>
      <c r="P31" t="s">
        <v>26</v>
      </c>
      <c r="Q31" t="s">
        <v>33</v>
      </c>
      <c r="R31" t="s">
        <v>28</v>
      </c>
      <c r="S31" t="s">
        <v>29</v>
      </c>
      <c r="T31">
        <v>8</v>
      </c>
    </row>
    <row r="32" spans="1:20" x14ac:dyDescent="0.45">
      <c r="A32" t="s">
        <v>21</v>
      </c>
      <c r="B32">
        <v>2026</v>
      </c>
      <c r="C32" t="s">
        <v>39</v>
      </c>
      <c r="D32" s="1">
        <v>46222</v>
      </c>
      <c r="E32" t="s">
        <v>23</v>
      </c>
      <c r="F32" t="s">
        <v>24</v>
      </c>
      <c r="G32">
        <v>48</v>
      </c>
      <c r="N32" s="2" t="s">
        <v>25</v>
      </c>
      <c r="P32" t="s">
        <v>26</v>
      </c>
      <c r="Q32" t="s">
        <v>27</v>
      </c>
      <c r="R32" t="s">
        <v>28</v>
      </c>
      <c r="S32" t="s">
        <v>29</v>
      </c>
      <c r="T32">
        <v>6</v>
      </c>
    </row>
    <row r="33" spans="1:20" x14ac:dyDescent="0.45">
      <c r="A33" t="s">
        <v>21</v>
      </c>
      <c r="B33">
        <v>2026</v>
      </c>
      <c r="C33" t="s">
        <v>39</v>
      </c>
      <c r="D33" s="1">
        <v>46222</v>
      </c>
      <c r="E33" t="s">
        <v>23</v>
      </c>
      <c r="F33" t="s">
        <v>24</v>
      </c>
      <c r="G33">
        <v>48</v>
      </c>
      <c r="N33" s="2" t="s">
        <v>25</v>
      </c>
      <c r="P33" t="s">
        <v>26</v>
      </c>
      <c r="Q33" t="s">
        <v>30</v>
      </c>
      <c r="R33" t="s">
        <v>28</v>
      </c>
      <c r="S33" t="s">
        <v>29</v>
      </c>
      <c r="T33">
        <v>42</v>
      </c>
    </row>
    <row r="34" spans="1:20" x14ac:dyDescent="0.45">
      <c r="A34" t="s">
        <v>21</v>
      </c>
      <c r="B34">
        <v>2026</v>
      </c>
      <c r="C34" t="s">
        <v>39</v>
      </c>
      <c r="D34" s="1">
        <v>46222</v>
      </c>
      <c r="E34" t="s">
        <v>23</v>
      </c>
      <c r="F34" t="s">
        <v>24</v>
      </c>
      <c r="G34">
        <v>48</v>
      </c>
      <c r="N34" s="2" t="s">
        <v>25</v>
      </c>
      <c r="P34" t="s">
        <v>26</v>
      </c>
      <c r="Q34" t="s">
        <v>31</v>
      </c>
      <c r="R34" t="s">
        <v>28</v>
      </c>
      <c r="S34" t="s">
        <v>29</v>
      </c>
      <c r="T34">
        <v>24</v>
      </c>
    </row>
    <row r="35" spans="1:20" x14ac:dyDescent="0.45">
      <c r="A35" t="s">
        <v>21</v>
      </c>
      <c r="B35">
        <v>2026</v>
      </c>
      <c r="C35" t="s">
        <v>39</v>
      </c>
      <c r="D35" s="1">
        <v>46222</v>
      </c>
      <c r="E35" t="s">
        <v>23</v>
      </c>
      <c r="F35" t="s">
        <v>24</v>
      </c>
      <c r="G35">
        <v>48</v>
      </c>
      <c r="N35" s="2" t="s">
        <v>25</v>
      </c>
      <c r="P35" t="s">
        <v>26</v>
      </c>
      <c r="Q35" t="s">
        <v>32</v>
      </c>
      <c r="R35" t="s">
        <v>28</v>
      </c>
      <c r="S35" t="s">
        <v>29</v>
      </c>
      <c r="T35">
        <v>21</v>
      </c>
    </row>
    <row r="36" spans="1:20" x14ac:dyDescent="0.45">
      <c r="A36" t="s">
        <v>21</v>
      </c>
      <c r="B36">
        <v>2026</v>
      </c>
      <c r="C36" t="s">
        <v>39</v>
      </c>
      <c r="D36" s="1">
        <v>46222</v>
      </c>
      <c r="E36" t="s">
        <v>23</v>
      </c>
      <c r="F36" t="s">
        <v>24</v>
      </c>
      <c r="G36">
        <v>48</v>
      </c>
      <c r="N36" s="2" t="s">
        <v>25</v>
      </c>
      <c r="P36" t="s">
        <v>26</v>
      </c>
      <c r="Q36" t="s">
        <v>33</v>
      </c>
      <c r="R36" t="s">
        <v>28</v>
      </c>
      <c r="S36" t="s">
        <v>29</v>
      </c>
      <c r="T36">
        <v>7</v>
      </c>
    </row>
    <row r="37" spans="1:20" x14ac:dyDescent="0.45">
      <c r="A37" t="s">
        <v>21</v>
      </c>
      <c r="B37">
        <v>2026</v>
      </c>
      <c r="C37" t="s">
        <v>40</v>
      </c>
      <c r="D37" s="1">
        <v>46229</v>
      </c>
      <c r="E37" t="s">
        <v>23</v>
      </c>
      <c r="F37" t="s">
        <v>24</v>
      </c>
      <c r="G37">
        <v>48</v>
      </c>
      <c r="N37" s="2" t="s">
        <v>25</v>
      </c>
      <c r="P37" t="s">
        <v>26</v>
      </c>
      <c r="Q37" t="s">
        <v>27</v>
      </c>
      <c r="R37" t="s">
        <v>28</v>
      </c>
      <c r="S37" t="s">
        <v>29</v>
      </c>
      <c r="T37">
        <v>5</v>
      </c>
    </row>
    <row r="38" spans="1:20" x14ac:dyDescent="0.45">
      <c r="A38" t="s">
        <v>21</v>
      </c>
      <c r="B38">
        <v>2026</v>
      </c>
      <c r="C38" t="s">
        <v>40</v>
      </c>
      <c r="D38" s="1">
        <v>46229</v>
      </c>
      <c r="E38" t="s">
        <v>23</v>
      </c>
      <c r="F38" t="s">
        <v>24</v>
      </c>
      <c r="G38">
        <v>48</v>
      </c>
      <c r="N38" s="2" t="s">
        <v>25</v>
      </c>
      <c r="P38" t="s">
        <v>26</v>
      </c>
      <c r="Q38" t="s">
        <v>30</v>
      </c>
      <c r="R38" t="s">
        <v>28</v>
      </c>
      <c r="S38" t="s">
        <v>29</v>
      </c>
      <c r="T38">
        <v>42</v>
      </c>
    </row>
    <row r="39" spans="1:20" x14ac:dyDescent="0.45">
      <c r="A39" t="s">
        <v>21</v>
      </c>
      <c r="B39">
        <v>2026</v>
      </c>
      <c r="C39" t="s">
        <v>40</v>
      </c>
      <c r="D39" s="1">
        <v>46229</v>
      </c>
      <c r="E39" t="s">
        <v>23</v>
      </c>
      <c r="F39" t="s">
        <v>24</v>
      </c>
      <c r="G39">
        <v>48</v>
      </c>
      <c r="N39" s="2" t="s">
        <v>25</v>
      </c>
      <c r="P39" t="s">
        <v>26</v>
      </c>
      <c r="Q39" t="s">
        <v>31</v>
      </c>
      <c r="R39" t="s">
        <v>28</v>
      </c>
      <c r="S39" t="s">
        <v>29</v>
      </c>
      <c r="T39">
        <v>29</v>
      </c>
    </row>
    <row r="40" spans="1:20" x14ac:dyDescent="0.45">
      <c r="A40" t="s">
        <v>21</v>
      </c>
      <c r="B40">
        <v>2026</v>
      </c>
      <c r="C40" t="s">
        <v>40</v>
      </c>
      <c r="D40" s="1">
        <v>46229</v>
      </c>
      <c r="E40" t="s">
        <v>23</v>
      </c>
      <c r="F40" t="s">
        <v>24</v>
      </c>
      <c r="G40">
        <v>48</v>
      </c>
      <c r="N40" s="2" t="s">
        <v>25</v>
      </c>
      <c r="P40" t="s">
        <v>26</v>
      </c>
      <c r="Q40" t="s">
        <v>32</v>
      </c>
      <c r="R40" t="s">
        <v>28</v>
      </c>
      <c r="S40" t="s">
        <v>29</v>
      </c>
      <c r="T40">
        <v>20</v>
      </c>
    </row>
    <row r="41" spans="1:20" x14ac:dyDescent="0.45">
      <c r="A41" t="s">
        <v>21</v>
      </c>
      <c r="B41">
        <v>2026</v>
      </c>
      <c r="C41" t="s">
        <v>40</v>
      </c>
      <c r="D41" s="1">
        <v>46229</v>
      </c>
      <c r="E41" t="s">
        <v>23</v>
      </c>
      <c r="F41" t="s">
        <v>24</v>
      </c>
      <c r="G41">
        <v>48</v>
      </c>
      <c r="N41" s="2" t="s">
        <v>25</v>
      </c>
      <c r="P41" t="s">
        <v>26</v>
      </c>
      <c r="Q41" t="s">
        <v>33</v>
      </c>
      <c r="R41" t="s">
        <v>28</v>
      </c>
      <c r="S41" t="s">
        <v>29</v>
      </c>
      <c r="T41">
        <v>4</v>
      </c>
    </row>
    <row r="42" spans="1:20" x14ac:dyDescent="0.45">
      <c r="A42" t="s">
        <v>21</v>
      </c>
      <c r="B42">
        <v>2026</v>
      </c>
      <c r="C42" t="s">
        <v>41</v>
      </c>
      <c r="D42" s="1">
        <v>46236</v>
      </c>
      <c r="E42" t="s">
        <v>23</v>
      </c>
      <c r="F42" t="s">
        <v>24</v>
      </c>
      <c r="G42">
        <v>48</v>
      </c>
      <c r="N42" s="2" t="s">
        <v>25</v>
      </c>
      <c r="P42" t="s">
        <v>26</v>
      </c>
      <c r="Q42" t="s">
        <v>27</v>
      </c>
      <c r="R42" t="s">
        <v>28</v>
      </c>
      <c r="S42" t="s">
        <v>29</v>
      </c>
      <c r="T42">
        <v>4</v>
      </c>
    </row>
    <row r="43" spans="1:20" x14ac:dyDescent="0.45">
      <c r="A43" t="s">
        <v>21</v>
      </c>
      <c r="B43">
        <v>2026</v>
      </c>
      <c r="C43" t="s">
        <v>41</v>
      </c>
      <c r="D43" s="1">
        <v>46236</v>
      </c>
      <c r="E43" t="s">
        <v>23</v>
      </c>
      <c r="F43" t="s">
        <v>24</v>
      </c>
      <c r="G43">
        <v>48</v>
      </c>
      <c r="N43" s="2" t="s">
        <v>25</v>
      </c>
      <c r="P43" t="s">
        <v>26</v>
      </c>
      <c r="Q43" t="s">
        <v>30</v>
      </c>
      <c r="R43" t="s">
        <v>28</v>
      </c>
      <c r="S43" t="s">
        <v>29</v>
      </c>
      <c r="T43">
        <v>42</v>
      </c>
    </row>
    <row r="44" spans="1:20" x14ac:dyDescent="0.45">
      <c r="A44" t="s">
        <v>21</v>
      </c>
      <c r="B44">
        <v>2026</v>
      </c>
      <c r="C44" t="s">
        <v>41</v>
      </c>
      <c r="D44" s="1">
        <v>46236</v>
      </c>
      <c r="E44" t="s">
        <v>23</v>
      </c>
      <c r="F44" t="s">
        <v>24</v>
      </c>
      <c r="G44">
        <v>48</v>
      </c>
      <c r="N44" s="2" t="s">
        <v>25</v>
      </c>
      <c r="P44" t="s">
        <v>26</v>
      </c>
      <c r="Q44" t="s">
        <v>31</v>
      </c>
      <c r="R44" t="s">
        <v>28</v>
      </c>
      <c r="S44" t="s">
        <v>29</v>
      </c>
      <c r="T44">
        <v>24</v>
      </c>
    </row>
    <row r="45" spans="1:20" x14ac:dyDescent="0.45">
      <c r="A45" t="s">
        <v>21</v>
      </c>
      <c r="B45">
        <v>2026</v>
      </c>
      <c r="C45" t="s">
        <v>41</v>
      </c>
      <c r="D45" s="1">
        <v>46236</v>
      </c>
      <c r="E45" t="s">
        <v>23</v>
      </c>
      <c r="F45" t="s">
        <v>24</v>
      </c>
      <c r="G45">
        <v>48</v>
      </c>
      <c r="N45" s="2" t="s">
        <v>25</v>
      </c>
      <c r="P45" t="s">
        <v>26</v>
      </c>
      <c r="Q45" t="s">
        <v>32</v>
      </c>
      <c r="R45" t="s">
        <v>28</v>
      </c>
      <c r="S45" t="s">
        <v>29</v>
      </c>
      <c r="T45">
        <v>22</v>
      </c>
    </row>
    <row r="46" spans="1:20" x14ac:dyDescent="0.45">
      <c r="A46" t="s">
        <v>21</v>
      </c>
      <c r="B46">
        <v>2026</v>
      </c>
      <c r="C46" t="s">
        <v>41</v>
      </c>
      <c r="D46" s="1">
        <v>46236</v>
      </c>
      <c r="E46" t="s">
        <v>23</v>
      </c>
      <c r="F46" t="s">
        <v>24</v>
      </c>
      <c r="G46">
        <v>48</v>
      </c>
      <c r="N46" s="2" t="s">
        <v>25</v>
      </c>
      <c r="P46" t="s">
        <v>26</v>
      </c>
      <c r="Q46" t="s">
        <v>33</v>
      </c>
      <c r="R46" t="s">
        <v>28</v>
      </c>
      <c r="S46" t="s">
        <v>29</v>
      </c>
      <c r="T46">
        <v>8</v>
      </c>
    </row>
    <row r="47" spans="1:20" x14ac:dyDescent="0.45">
      <c r="A47" t="s">
        <v>21</v>
      </c>
      <c r="B47">
        <v>2026</v>
      </c>
      <c r="C47" t="s">
        <v>42</v>
      </c>
      <c r="D47" s="1">
        <v>46243</v>
      </c>
      <c r="E47" t="s">
        <v>23</v>
      </c>
      <c r="F47" t="s">
        <v>24</v>
      </c>
      <c r="G47">
        <v>48</v>
      </c>
      <c r="N47" s="2" t="s">
        <v>25</v>
      </c>
      <c r="P47" t="s">
        <v>26</v>
      </c>
      <c r="Q47" t="s">
        <v>27</v>
      </c>
      <c r="R47" t="s">
        <v>28</v>
      </c>
      <c r="S47" t="s">
        <v>29</v>
      </c>
      <c r="T47">
        <v>3</v>
      </c>
    </row>
    <row r="48" spans="1:20" x14ac:dyDescent="0.45">
      <c r="A48" t="s">
        <v>21</v>
      </c>
      <c r="B48">
        <v>2026</v>
      </c>
      <c r="C48" t="s">
        <v>42</v>
      </c>
      <c r="D48" s="1">
        <v>46243</v>
      </c>
      <c r="E48" t="s">
        <v>23</v>
      </c>
      <c r="F48" t="s">
        <v>24</v>
      </c>
      <c r="G48">
        <v>48</v>
      </c>
      <c r="N48" s="2" t="s">
        <v>25</v>
      </c>
      <c r="P48" t="s">
        <v>26</v>
      </c>
      <c r="Q48" t="s">
        <v>30</v>
      </c>
      <c r="R48" t="s">
        <v>28</v>
      </c>
      <c r="S48" t="s">
        <v>29</v>
      </c>
      <c r="T48">
        <v>42</v>
      </c>
    </row>
    <row r="49" spans="1:20" x14ac:dyDescent="0.45">
      <c r="A49" t="s">
        <v>21</v>
      </c>
      <c r="B49">
        <v>2026</v>
      </c>
      <c r="C49" t="s">
        <v>42</v>
      </c>
      <c r="D49" s="1">
        <v>46243</v>
      </c>
      <c r="E49" t="s">
        <v>23</v>
      </c>
      <c r="F49" t="s">
        <v>24</v>
      </c>
      <c r="G49">
        <v>48</v>
      </c>
      <c r="N49" s="2" t="s">
        <v>25</v>
      </c>
      <c r="P49" t="s">
        <v>26</v>
      </c>
      <c r="Q49" t="s">
        <v>31</v>
      </c>
      <c r="R49" t="s">
        <v>28</v>
      </c>
      <c r="S49" t="s">
        <v>29</v>
      </c>
      <c r="T49">
        <v>21</v>
      </c>
    </row>
    <row r="50" spans="1:20" x14ac:dyDescent="0.45">
      <c r="A50" t="s">
        <v>21</v>
      </c>
      <c r="B50">
        <v>2026</v>
      </c>
      <c r="C50" t="s">
        <v>42</v>
      </c>
      <c r="D50" s="1">
        <v>46243</v>
      </c>
      <c r="E50" t="s">
        <v>23</v>
      </c>
      <c r="F50" t="s">
        <v>24</v>
      </c>
      <c r="G50">
        <v>48</v>
      </c>
      <c r="N50" s="2" t="s">
        <v>25</v>
      </c>
      <c r="P50" t="s">
        <v>26</v>
      </c>
      <c r="Q50" t="s">
        <v>32</v>
      </c>
      <c r="R50" t="s">
        <v>28</v>
      </c>
      <c r="S50" t="s">
        <v>29</v>
      </c>
      <c r="T50">
        <v>24</v>
      </c>
    </row>
    <row r="51" spans="1:20" x14ac:dyDescent="0.45">
      <c r="A51" t="s">
        <v>21</v>
      </c>
      <c r="B51">
        <v>2026</v>
      </c>
      <c r="C51" t="s">
        <v>42</v>
      </c>
      <c r="D51" s="1">
        <v>46243</v>
      </c>
      <c r="E51" t="s">
        <v>23</v>
      </c>
      <c r="F51" t="s">
        <v>24</v>
      </c>
      <c r="G51">
        <v>48</v>
      </c>
      <c r="N51" s="2" t="s">
        <v>25</v>
      </c>
      <c r="P51" t="s">
        <v>26</v>
      </c>
      <c r="Q51" t="s">
        <v>33</v>
      </c>
      <c r="R51" t="s">
        <v>28</v>
      </c>
      <c r="S51" t="s">
        <v>29</v>
      </c>
      <c r="T51">
        <v>10</v>
      </c>
    </row>
    <row r="52" spans="1:20" x14ac:dyDescent="0.45">
      <c r="A52" t="s">
        <v>21</v>
      </c>
      <c r="B52">
        <v>2026</v>
      </c>
      <c r="C52" t="s">
        <v>43</v>
      </c>
      <c r="D52" s="1">
        <v>46250</v>
      </c>
      <c r="E52" t="s">
        <v>23</v>
      </c>
      <c r="F52" t="s">
        <v>24</v>
      </c>
      <c r="G52">
        <v>48</v>
      </c>
      <c r="N52" s="2" t="s">
        <v>25</v>
      </c>
      <c r="P52" t="s">
        <v>26</v>
      </c>
      <c r="Q52" t="s">
        <v>27</v>
      </c>
      <c r="R52" t="s">
        <v>28</v>
      </c>
      <c r="S52" t="s">
        <v>29</v>
      </c>
      <c r="T52">
        <v>2</v>
      </c>
    </row>
    <row r="53" spans="1:20" x14ac:dyDescent="0.45">
      <c r="A53" t="s">
        <v>21</v>
      </c>
      <c r="B53">
        <v>2026</v>
      </c>
      <c r="C53" t="s">
        <v>43</v>
      </c>
      <c r="D53" s="1">
        <v>46250</v>
      </c>
      <c r="E53" t="s">
        <v>23</v>
      </c>
      <c r="F53" t="s">
        <v>24</v>
      </c>
      <c r="G53">
        <v>48</v>
      </c>
      <c r="N53" s="2" t="s">
        <v>25</v>
      </c>
      <c r="P53" t="s">
        <v>26</v>
      </c>
      <c r="Q53" t="s">
        <v>30</v>
      </c>
      <c r="R53" t="s">
        <v>28</v>
      </c>
      <c r="S53" t="s">
        <v>29</v>
      </c>
      <c r="T53">
        <v>40</v>
      </c>
    </row>
    <row r="54" spans="1:20" x14ac:dyDescent="0.45">
      <c r="A54" t="s">
        <v>21</v>
      </c>
      <c r="B54">
        <v>2026</v>
      </c>
      <c r="C54" t="s">
        <v>43</v>
      </c>
      <c r="D54" s="1">
        <v>46250</v>
      </c>
      <c r="E54" t="s">
        <v>23</v>
      </c>
      <c r="F54" t="s">
        <v>24</v>
      </c>
      <c r="G54">
        <v>48</v>
      </c>
      <c r="N54" s="2" t="s">
        <v>25</v>
      </c>
      <c r="P54" t="s">
        <v>26</v>
      </c>
      <c r="Q54" t="s">
        <v>31</v>
      </c>
      <c r="R54" t="s">
        <v>28</v>
      </c>
      <c r="S54" t="s">
        <v>29</v>
      </c>
      <c r="T54">
        <v>19</v>
      </c>
    </row>
    <row r="55" spans="1:20" x14ac:dyDescent="0.45">
      <c r="A55" t="s">
        <v>21</v>
      </c>
      <c r="B55">
        <v>2026</v>
      </c>
      <c r="C55" t="s">
        <v>43</v>
      </c>
      <c r="D55" s="1">
        <v>46250</v>
      </c>
      <c r="E55" t="s">
        <v>23</v>
      </c>
      <c r="F55" t="s">
        <v>24</v>
      </c>
      <c r="G55">
        <v>48</v>
      </c>
      <c r="N55" s="2" t="s">
        <v>25</v>
      </c>
      <c r="P55" t="s">
        <v>26</v>
      </c>
      <c r="Q55" t="s">
        <v>32</v>
      </c>
      <c r="R55" t="s">
        <v>28</v>
      </c>
      <c r="S55" t="s">
        <v>29</v>
      </c>
      <c r="T55">
        <v>27</v>
      </c>
    </row>
    <row r="56" spans="1:20" x14ac:dyDescent="0.45">
      <c r="A56" t="s">
        <v>21</v>
      </c>
      <c r="B56">
        <v>2026</v>
      </c>
      <c r="C56" t="s">
        <v>43</v>
      </c>
      <c r="D56" s="1">
        <v>46250</v>
      </c>
      <c r="E56" t="s">
        <v>23</v>
      </c>
      <c r="F56" t="s">
        <v>24</v>
      </c>
      <c r="G56">
        <v>48</v>
      </c>
      <c r="N56" s="2" t="s">
        <v>25</v>
      </c>
      <c r="P56" t="s">
        <v>26</v>
      </c>
      <c r="Q56" t="s">
        <v>33</v>
      </c>
      <c r="R56" t="s">
        <v>28</v>
      </c>
      <c r="S56" t="s">
        <v>29</v>
      </c>
      <c r="T56">
        <v>12</v>
      </c>
    </row>
    <row r="57" spans="1:20" x14ac:dyDescent="0.45">
      <c r="A57" t="s">
        <v>21</v>
      </c>
      <c r="B57">
        <v>2026</v>
      </c>
      <c r="C57" t="s">
        <v>44</v>
      </c>
      <c r="D57" s="1">
        <v>46257</v>
      </c>
      <c r="E57" t="s">
        <v>23</v>
      </c>
      <c r="F57" t="s">
        <v>24</v>
      </c>
      <c r="G57">
        <v>48</v>
      </c>
      <c r="N57" s="2" t="s">
        <v>25</v>
      </c>
      <c r="P57" t="s">
        <v>26</v>
      </c>
      <c r="Q57" t="s">
        <v>27</v>
      </c>
      <c r="R57" t="s">
        <v>28</v>
      </c>
      <c r="S57" t="s">
        <v>29</v>
      </c>
      <c r="T57">
        <v>2</v>
      </c>
    </row>
    <row r="58" spans="1:20" x14ac:dyDescent="0.45">
      <c r="A58" t="s">
        <v>21</v>
      </c>
      <c r="B58">
        <v>2026</v>
      </c>
      <c r="C58" t="s">
        <v>44</v>
      </c>
      <c r="D58" s="1">
        <v>46257</v>
      </c>
      <c r="E58" t="s">
        <v>23</v>
      </c>
      <c r="F58" t="s">
        <v>24</v>
      </c>
      <c r="G58">
        <v>48</v>
      </c>
      <c r="N58" s="2" t="s">
        <v>25</v>
      </c>
      <c r="P58" t="s">
        <v>26</v>
      </c>
      <c r="Q58" t="s">
        <v>30</v>
      </c>
      <c r="R58" t="s">
        <v>28</v>
      </c>
      <c r="S58" t="s">
        <v>29</v>
      </c>
      <c r="T58">
        <v>37</v>
      </c>
    </row>
    <row r="59" spans="1:20" x14ac:dyDescent="0.45">
      <c r="A59" t="s">
        <v>21</v>
      </c>
      <c r="B59">
        <v>2026</v>
      </c>
      <c r="C59" t="s">
        <v>44</v>
      </c>
      <c r="D59" s="1">
        <v>46257</v>
      </c>
      <c r="E59" t="s">
        <v>23</v>
      </c>
      <c r="F59" t="s">
        <v>24</v>
      </c>
      <c r="G59">
        <v>48</v>
      </c>
      <c r="N59" s="2" t="s">
        <v>25</v>
      </c>
      <c r="P59" t="s">
        <v>26</v>
      </c>
      <c r="Q59" t="s">
        <v>31</v>
      </c>
      <c r="R59" t="s">
        <v>28</v>
      </c>
      <c r="S59" t="s">
        <v>29</v>
      </c>
      <c r="T59">
        <v>17</v>
      </c>
    </row>
    <row r="60" spans="1:20" x14ac:dyDescent="0.45">
      <c r="A60" t="s">
        <v>21</v>
      </c>
      <c r="B60">
        <v>2026</v>
      </c>
      <c r="C60" t="s">
        <v>44</v>
      </c>
      <c r="D60" s="1">
        <v>46257</v>
      </c>
      <c r="E60" t="s">
        <v>23</v>
      </c>
      <c r="F60" t="s">
        <v>24</v>
      </c>
      <c r="G60">
        <v>48</v>
      </c>
      <c r="N60" s="2" t="s">
        <v>25</v>
      </c>
      <c r="P60" t="s">
        <v>26</v>
      </c>
      <c r="Q60" t="s">
        <v>32</v>
      </c>
      <c r="R60" t="s">
        <v>28</v>
      </c>
      <c r="S60" t="s">
        <v>29</v>
      </c>
      <c r="T60">
        <v>29</v>
      </c>
    </row>
    <row r="61" spans="1:20" x14ac:dyDescent="0.45">
      <c r="A61" t="s">
        <v>21</v>
      </c>
      <c r="B61">
        <v>2026</v>
      </c>
      <c r="C61" t="s">
        <v>44</v>
      </c>
      <c r="D61" s="1">
        <v>46257</v>
      </c>
      <c r="E61" t="s">
        <v>23</v>
      </c>
      <c r="F61" t="s">
        <v>24</v>
      </c>
      <c r="G61">
        <v>48</v>
      </c>
      <c r="N61" s="2" t="s">
        <v>25</v>
      </c>
      <c r="P61" t="s">
        <v>26</v>
      </c>
      <c r="Q61" t="s">
        <v>33</v>
      </c>
      <c r="R61" t="s">
        <v>28</v>
      </c>
      <c r="S61" t="s">
        <v>29</v>
      </c>
      <c r="T61">
        <v>15</v>
      </c>
    </row>
    <row r="62" spans="1:20" x14ac:dyDescent="0.45">
      <c r="A62" t="s">
        <v>21</v>
      </c>
      <c r="B62">
        <v>2026</v>
      </c>
      <c r="C62" t="s">
        <v>45</v>
      </c>
      <c r="D62" s="1">
        <v>46264</v>
      </c>
      <c r="E62" t="s">
        <v>23</v>
      </c>
      <c r="F62" t="s">
        <v>24</v>
      </c>
      <c r="G62">
        <v>48</v>
      </c>
      <c r="N62" s="2" t="s">
        <v>25</v>
      </c>
      <c r="P62" t="s">
        <v>26</v>
      </c>
      <c r="Q62" t="s">
        <v>27</v>
      </c>
      <c r="R62" t="s">
        <v>28</v>
      </c>
      <c r="S62" t="s">
        <v>29</v>
      </c>
      <c r="T62">
        <v>2</v>
      </c>
    </row>
    <row r="63" spans="1:20" x14ac:dyDescent="0.45">
      <c r="A63" t="s">
        <v>21</v>
      </c>
      <c r="B63">
        <v>2026</v>
      </c>
      <c r="C63" t="s">
        <v>45</v>
      </c>
      <c r="D63" s="1">
        <v>46264</v>
      </c>
      <c r="E63" t="s">
        <v>23</v>
      </c>
      <c r="F63" t="s">
        <v>24</v>
      </c>
      <c r="G63">
        <v>48</v>
      </c>
      <c r="N63" s="2" t="s">
        <v>25</v>
      </c>
      <c r="P63" t="s">
        <v>26</v>
      </c>
      <c r="Q63" t="s">
        <v>30</v>
      </c>
      <c r="R63" t="s">
        <v>28</v>
      </c>
      <c r="S63" t="s">
        <v>29</v>
      </c>
      <c r="T63">
        <v>31</v>
      </c>
    </row>
    <row r="64" spans="1:20" x14ac:dyDescent="0.45">
      <c r="A64" t="s">
        <v>21</v>
      </c>
      <c r="B64">
        <v>2026</v>
      </c>
      <c r="C64" t="s">
        <v>45</v>
      </c>
      <c r="D64" s="1">
        <v>46264</v>
      </c>
      <c r="E64" t="s">
        <v>23</v>
      </c>
      <c r="F64" t="s">
        <v>24</v>
      </c>
      <c r="G64">
        <v>48</v>
      </c>
      <c r="N64" s="2" t="s">
        <v>25</v>
      </c>
      <c r="P64" t="s">
        <v>26</v>
      </c>
      <c r="Q64" t="s">
        <v>31</v>
      </c>
      <c r="R64" t="s">
        <v>28</v>
      </c>
      <c r="S64" t="s">
        <v>29</v>
      </c>
      <c r="T64">
        <v>20</v>
      </c>
    </row>
    <row r="65" spans="1:20" x14ac:dyDescent="0.45">
      <c r="A65" t="s">
        <v>21</v>
      </c>
      <c r="B65">
        <v>2026</v>
      </c>
      <c r="C65" t="s">
        <v>45</v>
      </c>
      <c r="D65" s="1">
        <v>46264</v>
      </c>
      <c r="E65" t="s">
        <v>23</v>
      </c>
      <c r="F65" t="s">
        <v>24</v>
      </c>
      <c r="G65">
        <v>48</v>
      </c>
      <c r="N65" s="2" t="s">
        <v>25</v>
      </c>
      <c r="P65" t="s">
        <v>26</v>
      </c>
      <c r="Q65" t="s">
        <v>32</v>
      </c>
      <c r="R65" t="s">
        <v>28</v>
      </c>
      <c r="S65" t="s">
        <v>29</v>
      </c>
      <c r="T65">
        <v>30</v>
      </c>
    </row>
    <row r="66" spans="1:20" x14ac:dyDescent="0.45">
      <c r="A66" t="s">
        <v>21</v>
      </c>
      <c r="B66">
        <v>2026</v>
      </c>
      <c r="C66" t="s">
        <v>45</v>
      </c>
      <c r="D66" s="1">
        <v>46264</v>
      </c>
      <c r="E66" t="s">
        <v>23</v>
      </c>
      <c r="F66" t="s">
        <v>24</v>
      </c>
      <c r="G66">
        <v>48</v>
      </c>
      <c r="N66" s="2" t="s">
        <v>25</v>
      </c>
      <c r="P66" t="s">
        <v>26</v>
      </c>
      <c r="Q66" t="s">
        <v>33</v>
      </c>
      <c r="R66" t="s">
        <v>28</v>
      </c>
      <c r="S66" t="s">
        <v>29</v>
      </c>
      <c r="T66">
        <v>17</v>
      </c>
    </row>
    <row r="67" spans="1:20" x14ac:dyDescent="0.45">
      <c r="A67" t="s">
        <v>21</v>
      </c>
      <c r="B67">
        <v>2026</v>
      </c>
      <c r="C67" t="s">
        <v>46</v>
      </c>
      <c r="D67" s="1">
        <v>46271</v>
      </c>
      <c r="E67" t="s">
        <v>23</v>
      </c>
      <c r="F67" t="s">
        <v>24</v>
      </c>
      <c r="G67">
        <v>48</v>
      </c>
      <c r="N67" s="2" t="s">
        <v>25</v>
      </c>
      <c r="P67" t="s">
        <v>26</v>
      </c>
      <c r="Q67" t="s">
        <v>27</v>
      </c>
      <c r="R67" t="s">
        <v>28</v>
      </c>
      <c r="S67" t="s">
        <v>29</v>
      </c>
      <c r="T67">
        <v>1</v>
      </c>
    </row>
    <row r="68" spans="1:20" x14ac:dyDescent="0.45">
      <c r="A68" t="s">
        <v>21</v>
      </c>
      <c r="B68">
        <v>2026</v>
      </c>
      <c r="C68" t="s">
        <v>46</v>
      </c>
      <c r="D68" s="1">
        <v>46271</v>
      </c>
      <c r="E68" t="s">
        <v>23</v>
      </c>
      <c r="F68" t="s">
        <v>24</v>
      </c>
      <c r="G68">
        <v>48</v>
      </c>
      <c r="N68" s="2" t="s">
        <v>25</v>
      </c>
      <c r="P68" t="s">
        <v>26</v>
      </c>
      <c r="Q68" t="s">
        <v>30</v>
      </c>
      <c r="R68" t="s">
        <v>28</v>
      </c>
      <c r="S68" t="s">
        <v>29</v>
      </c>
      <c r="T68">
        <v>36</v>
      </c>
    </row>
    <row r="69" spans="1:20" x14ac:dyDescent="0.45">
      <c r="A69" t="s">
        <v>21</v>
      </c>
      <c r="B69">
        <v>2026</v>
      </c>
      <c r="C69" t="s">
        <v>46</v>
      </c>
      <c r="D69" s="1">
        <v>46271</v>
      </c>
      <c r="E69" t="s">
        <v>23</v>
      </c>
      <c r="F69" t="s">
        <v>24</v>
      </c>
      <c r="G69">
        <v>48</v>
      </c>
      <c r="N69" s="2" t="s">
        <v>25</v>
      </c>
      <c r="P69" t="s">
        <v>26</v>
      </c>
      <c r="Q69" t="s">
        <v>31</v>
      </c>
      <c r="R69" t="s">
        <v>28</v>
      </c>
      <c r="S69" t="s">
        <v>29</v>
      </c>
      <c r="T69">
        <v>15</v>
      </c>
    </row>
    <row r="70" spans="1:20" x14ac:dyDescent="0.45">
      <c r="A70" t="s">
        <v>21</v>
      </c>
      <c r="B70">
        <v>2026</v>
      </c>
      <c r="C70" t="s">
        <v>46</v>
      </c>
      <c r="D70" s="1">
        <v>46271</v>
      </c>
      <c r="E70" t="s">
        <v>23</v>
      </c>
      <c r="F70" t="s">
        <v>24</v>
      </c>
      <c r="G70">
        <v>48</v>
      </c>
      <c r="N70" s="2" t="s">
        <v>25</v>
      </c>
      <c r="P70" t="s">
        <v>26</v>
      </c>
      <c r="Q70" t="s">
        <v>32</v>
      </c>
      <c r="R70" t="s">
        <v>28</v>
      </c>
      <c r="S70" t="s">
        <v>29</v>
      </c>
      <c r="T70">
        <v>31</v>
      </c>
    </row>
    <row r="71" spans="1:20" x14ac:dyDescent="0.45">
      <c r="A71" t="s">
        <v>21</v>
      </c>
      <c r="B71">
        <v>2026</v>
      </c>
      <c r="C71" t="s">
        <v>46</v>
      </c>
      <c r="D71" s="1">
        <v>46271</v>
      </c>
      <c r="E71" t="s">
        <v>23</v>
      </c>
      <c r="F71" t="s">
        <v>24</v>
      </c>
      <c r="G71">
        <v>48</v>
      </c>
      <c r="N71" s="2" t="s">
        <v>25</v>
      </c>
      <c r="P71" t="s">
        <v>26</v>
      </c>
      <c r="Q71" t="s">
        <v>33</v>
      </c>
      <c r="R71" t="s">
        <v>28</v>
      </c>
      <c r="S71" t="s">
        <v>29</v>
      </c>
      <c r="T71">
        <v>17</v>
      </c>
    </row>
    <row r="72" spans="1:20" x14ac:dyDescent="0.45">
      <c r="A72" t="s">
        <v>21</v>
      </c>
      <c r="B72">
        <v>2026</v>
      </c>
      <c r="C72" t="s">
        <v>47</v>
      </c>
      <c r="D72" s="1">
        <v>46278</v>
      </c>
      <c r="E72" t="s">
        <v>23</v>
      </c>
      <c r="F72" t="s">
        <v>24</v>
      </c>
      <c r="G72">
        <v>48</v>
      </c>
      <c r="N72" s="2" t="s">
        <v>25</v>
      </c>
      <c r="P72" t="s">
        <v>26</v>
      </c>
      <c r="Q72" t="s">
        <v>27</v>
      </c>
      <c r="R72" t="s">
        <v>28</v>
      </c>
      <c r="S72" t="s">
        <v>29</v>
      </c>
      <c r="T72">
        <v>2</v>
      </c>
    </row>
    <row r="73" spans="1:20" x14ac:dyDescent="0.45">
      <c r="A73" t="s">
        <v>21</v>
      </c>
      <c r="B73">
        <v>2026</v>
      </c>
      <c r="C73" t="s">
        <v>47</v>
      </c>
      <c r="D73" s="1">
        <v>46278</v>
      </c>
      <c r="E73" t="s">
        <v>23</v>
      </c>
      <c r="F73" t="s">
        <v>24</v>
      </c>
      <c r="G73">
        <v>48</v>
      </c>
      <c r="N73" s="2" t="s">
        <v>25</v>
      </c>
      <c r="P73" t="s">
        <v>26</v>
      </c>
      <c r="Q73" t="s">
        <v>30</v>
      </c>
      <c r="R73" t="s">
        <v>28</v>
      </c>
      <c r="S73" t="s">
        <v>29</v>
      </c>
      <c r="T73">
        <v>33</v>
      </c>
    </row>
    <row r="74" spans="1:20" x14ac:dyDescent="0.45">
      <c r="A74" t="s">
        <v>21</v>
      </c>
      <c r="B74">
        <v>2026</v>
      </c>
      <c r="C74" t="s">
        <v>47</v>
      </c>
      <c r="D74" s="1">
        <v>46278</v>
      </c>
      <c r="E74" t="s">
        <v>23</v>
      </c>
      <c r="F74" t="s">
        <v>24</v>
      </c>
      <c r="G74">
        <v>48</v>
      </c>
      <c r="N74" s="2" t="s">
        <v>25</v>
      </c>
      <c r="P74" t="s">
        <v>26</v>
      </c>
      <c r="Q74" t="s">
        <v>31</v>
      </c>
      <c r="R74" t="s">
        <v>28</v>
      </c>
      <c r="S74" t="s">
        <v>29</v>
      </c>
      <c r="T74">
        <v>16</v>
      </c>
    </row>
    <row r="75" spans="1:20" x14ac:dyDescent="0.45">
      <c r="A75" t="s">
        <v>21</v>
      </c>
      <c r="B75">
        <v>2026</v>
      </c>
      <c r="C75" t="s">
        <v>47</v>
      </c>
      <c r="D75" s="1">
        <v>46278</v>
      </c>
      <c r="E75" t="s">
        <v>23</v>
      </c>
      <c r="F75" t="s">
        <v>24</v>
      </c>
      <c r="G75">
        <v>48</v>
      </c>
      <c r="N75" s="2" t="s">
        <v>25</v>
      </c>
      <c r="P75" t="s">
        <v>26</v>
      </c>
      <c r="Q75" t="s">
        <v>32</v>
      </c>
      <c r="R75" t="s">
        <v>28</v>
      </c>
      <c r="S75" t="s">
        <v>29</v>
      </c>
      <c r="T75">
        <v>30</v>
      </c>
    </row>
    <row r="76" spans="1:20" x14ac:dyDescent="0.45">
      <c r="A76" t="s">
        <v>21</v>
      </c>
      <c r="B76">
        <v>2026</v>
      </c>
      <c r="C76" t="s">
        <v>47</v>
      </c>
      <c r="D76" s="1">
        <v>46278</v>
      </c>
      <c r="E76" t="s">
        <v>23</v>
      </c>
      <c r="F76" t="s">
        <v>24</v>
      </c>
      <c r="G76">
        <v>48</v>
      </c>
      <c r="N76" s="2" t="s">
        <v>25</v>
      </c>
      <c r="P76" t="s">
        <v>26</v>
      </c>
      <c r="Q76" t="s">
        <v>33</v>
      </c>
      <c r="R76" t="s">
        <v>28</v>
      </c>
      <c r="S76" t="s">
        <v>29</v>
      </c>
      <c r="T76">
        <v>19</v>
      </c>
    </row>
    <row r="77" spans="1:20" x14ac:dyDescent="0.45">
      <c r="A77" t="s">
        <v>21</v>
      </c>
      <c r="B77">
        <v>2026</v>
      </c>
      <c r="C77" t="s">
        <v>48</v>
      </c>
      <c r="D77" s="1">
        <v>46285</v>
      </c>
      <c r="E77" t="s">
        <v>23</v>
      </c>
      <c r="F77" t="s">
        <v>24</v>
      </c>
      <c r="G77">
        <v>48</v>
      </c>
      <c r="N77" s="2" t="s">
        <v>25</v>
      </c>
      <c r="P77" t="s">
        <v>26</v>
      </c>
      <c r="Q77" t="s">
        <v>27</v>
      </c>
      <c r="R77" t="s">
        <v>28</v>
      </c>
      <c r="S77" t="s">
        <v>29</v>
      </c>
      <c r="T77">
        <v>1</v>
      </c>
    </row>
    <row r="78" spans="1:20" x14ac:dyDescent="0.45">
      <c r="A78" t="s">
        <v>21</v>
      </c>
      <c r="B78">
        <v>2026</v>
      </c>
      <c r="C78" t="s">
        <v>48</v>
      </c>
      <c r="D78" s="1">
        <v>46285</v>
      </c>
      <c r="E78" t="s">
        <v>23</v>
      </c>
      <c r="F78" t="s">
        <v>24</v>
      </c>
      <c r="G78">
        <v>48</v>
      </c>
      <c r="N78" s="2" t="s">
        <v>25</v>
      </c>
      <c r="P78" t="s">
        <v>26</v>
      </c>
      <c r="Q78" t="s">
        <v>30</v>
      </c>
      <c r="R78" t="s">
        <v>28</v>
      </c>
      <c r="S78" t="s">
        <v>29</v>
      </c>
      <c r="T78">
        <v>33</v>
      </c>
    </row>
    <row r="79" spans="1:20" x14ac:dyDescent="0.45">
      <c r="A79" t="s">
        <v>21</v>
      </c>
      <c r="B79">
        <v>2026</v>
      </c>
      <c r="C79" t="s">
        <v>48</v>
      </c>
      <c r="D79" s="1">
        <v>46285</v>
      </c>
      <c r="E79" t="s">
        <v>23</v>
      </c>
      <c r="F79" t="s">
        <v>24</v>
      </c>
      <c r="G79">
        <v>48</v>
      </c>
      <c r="N79" s="2" t="s">
        <v>25</v>
      </c>
      <c r="P79" t="s">
        <v>26</v>
      </c>
      <c r="Q79" t="s">
        <v>31</v>
      </c>
      <c r="R79" t="s">
        <v>28</v>
      </c>
      <c r="S79" t="s">
        <v>29</v>
      </c>
      <c r="T79">
        <v>14</v>
      </c>
    </row>
    <row r="80" spans="1:20" x14ac:dyDescent="0.45">
      <c r="A80" t="s">
        <v>21</v>
      </c>
      <c r="B80">
        <v>2026</v>
      </c>
      <c r="C80" t="s">
        <v>48</v>
      </c>
      <c r="D80" s="1">
        <v>46285</v>
      </c>
      <c r="E80" t="s">
        <v>23</v>
      </c>
      <c r="F80" t="s">
        <v>24</v>
      </c>
      <c r="G80">
        <v>48</v>
      </c>
      <c r="N80" s="2" t="s">
        <v>25</v>
      </c>
      <c r="P80" t="s">
        <v>26</v>
      </c>
      <c r="Q80" t="s">
        <v>32</v>
      </c>
      <c r="R80" t="s">
        <v>28</v>
      </c>
      <c r="S80" t="s">
        <v>29</v>
      </c>
      <c r="T80">
        <v>35</v>
      </c>
    </row>
    <row r="81" spans="1:20" x14ac:dyDescent="0.45">
      <c r="A81" t="s">
        <v>21</v>
      </c>
      <c r="B81">
        <v>2026</v>
      </c>
      <c r="C81" t="s">
        <v>48</v>
      </c>
      <c r="D81" s="1">
        <v>46285</v>
      </c>
      <c r="E81" t="s">
        <v>23</v>
      </c>
      <c r="F81" t="s">
        <v>24</v>
      </c>
      <c r="G81">
        <v>48</v>
      </c>
      <c r="N81" s="2" t="s">
        <v>25</v>
      </c>
      <c r="P81" t="s">
        <v>26</v>
      </c>
      <c r="Q81" t="s">
        <v>33</v>
      </c>
      <c r="R81" t="s">
        <v>28</v>
      </c>
      <c r="S81" t="s">
        <v>29</v>
      </c>
      <c r="T81">
        <v>17</v>
      </c>
    </row>
    <row r="82" spans="1:20" x14ac:dyDescent="0.45">
      <c r="A82" t="s">
        <v>21</v>
      </c>
      <c r="B82">
        <v>2025</v>
      </c>
      <c r="C82" t="s">
        <v>49</v>
      </c>
      <c r="D82" s="1">
        <v>45662</v>
      </c>
      <c r="E82" t="s">
        <v>23</v>
      </c>
      <c r="F82" t="s">
        <v>24</v>
      </c>
      <c r="G82">
        <v>48</v>
      </c>
      <c r="N82" s="2" t="s">
        <v>25</v>
      </c>
      <c r="P82" t="s">
        <v>26</v>
      </c>
      <c r="Q82" t="s">
        <v>27</v>
      </c>
      <c r="R82" t="s">
        <v>28</v>
      </c>
      <c r="S82" t="s">
        <v>29</v>
      </c>
      <c r="T82">
        <v>2</v>
      </c>
    </row>
    <row r="83" spans="1:20" x14ac:dyDescent="0.45">
      <c r="A83" t="s">
        <v>21</v>
      </c>
      <c r="B83">
        <v>2025</v>
      </c>
      <c r="C83" t="s">
        <v>49</v>
      </c>
      <c r="D83" s="1">
        <v>45662</v>
      </c>
      <c r="E83" t="s">
        <v>23</v>
      </c>
      <c r="F83" t="s">
        <v>24</v>
      </c>
      <c r="G83">
        <v>48</v>
      </c>
      <c r="N83" s="2" t="s">
        <v>25</v>
      </c>
      <c r="P83" t="s">
        <v>26</v>
      </c>
      <c r="Q83" t="s">
        <v>30</v>
      </c>
      <c r="R83" t="s">
        <v>28</v>
      </c>
      <c r="S83" t="s">
        <v>29</v>
      </c>
      <c r="T83">
        <v>27</v>
      </c>
    </row>
    <row r="84" spans="1:20" x14ac:dyDescent="0.45">
      <c r="A84" t="s">
        <v>21</v>
      </c>
      <c r="B84">
        <v>2025</v>
      </c>
      <c r="C84" t="s">
        <v>49</v>
      </c>
      <c r="D84" s="1">
        <v>45662</v>
      </c>
      <c r="E84" t="s">
        <v>23</v>
      </c>
      <c r="F84" t="s">
        <v>24</v>
      </c>
      <c r="G84">
        <v>48</v>
      </c>
      <c r="N84" s="2" t="s">
        <v>25</v>
      </c>
      <c r="P84" t="s">
        <v>26</v>
      </c>
      <c r="Q84" t="s">
        <v>31</v>
      </c>
      <c r="R84" t="s">
        <v>28</v>
      </c>
      <c r="S84" t="s">
        <v>29</v>
      </c>
      <c r="T84">
        <v>16</v>
      </c>
    </row>
    <row r="85" spans="1:20" x14ac:dyDescent="0.45">
      <c r="A85" t="s">
        <v>21</v>
      </c>
      <c r="B85">
        <v>2025</v>
      </c>
      <c r="C85" t="s">
        <v>49</v>
      </c>
      <c r="D85" s="1">
        <v>45662</v>
      </c>
      <c r="E85" t="s">
        <v>23</v>
      </c>
      <c r="F85" t="s">
        <v>24</v>
      </c>
      <c r="G85">
        <v>48</v>
      </c>
      <c r="N85" s="2" t="s">
        <v>25</v>
      </c>
      <c r="P85" t="s">
        <v>26</v>
      </c>
      <c r="Q85" t="s">
        <v>32</v>
      </c>
      <c r="R85" t="s">
        <v>28</v>
      </c>
      <c r="S85" t="s">
        <v>29</v>
      </c>
      <c r="T85">
        <v>33</v>
      </c>
    </row>
    <row r="86" spans="1:20" x14ac:dyDescent="0.45">
      <c r="A86" t="s">
        <v>21</v>
      </c>
      <c r="B86">
        <v>2025</v>
      </c>
      <c r="C86" t="s">
        <v>49</v>
      </c>
      <c r="D86" s="1">
        <v>45662</v>
      </c>
      <c r="E86" t="s">
        <v>23</v>
      </c>
      <c r="F86" t="s">
        <v>24</v>
      </c>
      <c r="G86">
        <v>48</v>
      </c>
      <c r="N86" s="2" t="s">
        <v>25</v>
      </c>
      <c r="P86" t="s">
        <v>26</v>
      </c>
      <c r="Q86" t="s">
        <v>33</v>
      </c>
      <c r="R86" t="s">
        <v>28</v>
      </c>
      <c r="S86" t="s">
        <v>29</v>
      </c>
      <c r="T86">
        <v>22</v>
      </c>
    </row>
    <row r="87" spans="1:20" x14ac:dyDescent="0.45">
      <c r="A87" t="s">
        <v>21</v>
      </c>
      <c r="B87">
        <v>2025</v>
      </c>
      <c r="C87" t="s">
        <v>50</v>
      </c>
      <c r="D87" s="1">
        <v>45802</v>
      </c>
      <c r="E87" t="s">
        <v>23</v>
      </c>
      <c r="F87" t="s">
        <v>24</v>
      </c>
      <c r="G87">
        <v>48</v>
      </c>
      <c r="N87" s="2" t="s">
        <v>25</v>
      </c>
      <c r="P87" t="s">
        <v>26</v>
      </c>
      <c r="Q87" t="s">
        <v>27</v>
      </c>
      <c r="R87" t="s">
        <v>28</v>
      </c>
      <c r="S87" t="s">
        <v>29</v>
      </c>
      <c r="T87">
        <v>5</v>
      </c>
    </row>
    <row r="88" spans="1:20" x14ac:dyDescent="0.45">
      <c r="A88" t="s">
        <v>21</v>
      </c>
      <c r="B88">
        <v>2025</v>
      </c>
      <c r="C88" t="s">
        <v>50</v>
      </c>
      <c r="D88" s="1">
        <v>45802</v>
      </c>
      <c r="E88" t="s">
        <v>23</v>
      </c>
      <c r="F88" t="s">
        <v>24</v>
      </c>
      <c r="G88">
        <v>48</v>
      </c>
      <c r="N88" s="2" t="s">
        <v>25</v>
      </c>
      <c r="P88" t="s">
        <v>26</v>
      </c>
      <c r="Q88" t="s">
        <v>30</v>
      </c>
      <c r="R88" t="s">
        <v>28</v>
      </c>
      <c r="S88" t="s">
        <v>29</v>
      </c>
      <c r="T88">
        <v>45</v>
      </c>
    </row>
    <row r="89" spans="1:20" x14ac:dyDescent="0.45">
      <c r="A89" t="s">
        <v>21</v>
      </c>
      <c r="B89">
        <v>2025</v>
      </c>
      <c r="C89" t="s">
        <v>50</v>
      </c>
      <c r="D89" s="1">
        <v>45802</v>
      </c>
      <c r="E89" t="s">
        <v>23</v>
      </c>
      <c r="F89" t="s">
        <v>24</v>
      </c>
      <c r="G89">
        <v>48</v>
      </c>
      <c r="N89" s="2" t="s">
        <v>25</v>
      </c>
      <c r="P89" t="s">
        <v>26</v>
      </c>
      <c r="Q89" t="s">
        <v>31</v>
      </c>
      <c r="R89" t="s">
        <v>28</v>
      </c>
      <c r="S89" t="s">
        <v>29</v>
      </c>
      <c r="T89">
        <v>29</v>
      </c>
    </row>
    <row r="90" spans="1:20" x14ac:dyDescent="0.45">
      <c r="A90" t="s">
        <v>21</v>
      </c>
      <c r="B90">
        <v>2025</v>
      </c>
      <c r="C90" t="s">
        <v>50</v>
      </c>
      <c r="D90" s="1">
        <v>45802</v>
      </c>
      <c r="E90" t="s">
        <v>23</v>
      </c>
      <c r="F90" t="s">
        <v>24</v>
      </c>
      <c r="G90">
        <v>48</v>
      </c>
      <c r="N90" s="2" t="s">
        <v>25</v>
      </c>
      <c r="P90" t="s">
        <v>26</v>
      </c>
      <c r="Q90" t="s">
        <v>32</v>
      </c>
      <c r="R90" t="s">
        <v>28</v>
      </c>
      <c r="S90" t="s">
        <v>29</v>
      </c>
      <c r="T90">
        <v>15</v>
      </c>
    </row>
    <row r="91" spans="1:20" x14ac:dyDescent="0.45">
      <c r="A91" t="s">
        <v>21</v>
      </c>
      <c r="B91">
        <v>2025</v>
      </c>
      <c r="C91" t="s">
        <v>50</v>
      </c>
      <c r="D91" s="1">
        <v>45802</v>
      </c>
      <c r="E91" t="s">
        <v>23</v>
      </c>
      <c r="F91" t="s">
        <v>24</v>
      </c>
      <c r="G91">
        <v>48</v>
      </c>
      <c r="N91" s="2" t="s">
        <v>25</v>
      </c>
      <c r="P91" t="s">
        <v>26</v>
      </c>
      <c r="Q91" t="s">
        <v>33</v>
      </c>
      <c r="R91" t="s">
        <v>28</v>
      </c>
      <c r="S91" t="s">
        <v>29</v>
      </c>
      <c r="T91">
        <v>6</v>
      </c>
    </row>
    <row r="92" spans="1:20" x14ac:dyDescent="0.45">
      <c r="A92" t="s">
        <v>21</v>
      </c>
      <c r="B92">
        <v>2025</v>
      </c>
      <c r="C92" t="s">
        <v>51</v>
      </c>
      <c r="D92" s="1">
        <v>45809</v>
      </c>
      <c r="E92" t="s">
        <v>23</v>
      </c>
      <c r="F92" t="s">
        <v>24</v>
      </c>
      <c r="G92">
        <v>48</v>
      </c>
      <c r="N92" s="2" t="s">
        <v>25</v>
      </c>
      <c r="P92" t="s">
        <v>26</v>
      </c>
      <c r="Q92" t="s">
        <v>27</v>
      </c>
      <c r="R92" t="s">
        <v>28</v>
      </c>
      <c r="S92" t="s">
        <v>29</v>
      </c>
      <c r="T92">
        <v>4</v>
      </c>
    </row>
    <row r="93" spans="1:20" x14ac:dyDescent="0.45">
      <c r="A93" t="s">
        <v>21</v>
      </c>
      <c r="B93">
        <v>2025</v>
      </c>
      <c r="C93" t="s">
        <v>51</v>
      </c>
      <c r="D93" s="1">
        <v>45809</v>
      </c>
      <c r="E93" t="s">
        <v>23</v>
      </c>
      <c r="F93" t="s">
        <v>24</v>
      </c>
      <c r="G93">
        <v>48</v>
      </c>
      <c r="N93" s="2" t="s">
        <v>25</v>
      </c>
      <c r="P93" t="s">
        <v>26</v>
      </c>
      <c r="Q93" t="s">
        <v>30</v>
      </c>
      <c r="R93" t="s">
        <v>28</v>
      </c>
      <c r="S93" t="s">
        <v>29</v>
      </c>
      <c r="T93">
        <v>30</v>
      </c>
    </row>
    <row r="94" spans="1:20" x14ac:dyDescent="0.45">
      <c r="A94" t="s">
        <v>21</v>
      </c>
      <c r="B94">
        <v>2025</v>
      </c>
      <c r="C94" t="s">
        <v>51</v>
      </c>
      <c r="D94" s="1">
        <v>45809</v>
      </c>
      <c r="E94" t="s">
        <v>23</v>
      </c>
      <c r="F94" t="s">
        <v>24</v>
      </c>
      <c r="G94">
        <v>48</v>
      </c>
      <c r="N94" s="2" t="s">
        <v>25</v>
      </c>
      <c r="P94" t="s">
        <v>26</v>
      </c>
      <c r="Q94" t="s">
        <v>31</v>
      </c>
      <c r="R94" t="s">
        <v>28</v>
      </c>
      <c r="S94" t="s">
        <v>29</v>
      </c>
      <c r="T94">
        <v>34</v>
      </c>
    </row>
    <row r="95" spans="1:20" x14ac:dyDescent="0.45">
      <c r="A95" t="s">
        <v>21</v>
      </c>
      <c r="B95">
        <v>2025</v>
      </c>
      <c r="C95" t="s">
        <v>51</v>
      </c>
      <c r="D95" s="1">
        <v>45809</v>
      </c>
      <c r="E95" t="s">
        <v>23</v>
      </c>
      <c r="F95" t="s">
        <v>24</v>
      </c>
      <c r="G95">
        <v>48</v>
      </c>
      <c r="N95" s="2" t="s">
        <v>25</v>
      </c>
      <c r="P95" t="s">
        <v>26</v>
      </c>
      <c r="Q95" t="s">
        <v>32</v>
      </c>
      <c r="R95" t="s">
        <v>28</v>
      </c>
      <c r="S95" t="s">
        <v>29</v>
      </c>
      <c r="T95">
        <v>20</v>
      </c>
    </row>
    <row r="96" spans="1:20" x14ac:dyDescent="0.45">
      <c r="A96" t="s">
        <v>21</v>
      </c>
      <c r="B96">
        <v>2025</v>
      </c>
      <c r="C96" t="s">
        <v>51</v>
      </c>
      <c r="D96" s="1">
        <v>45809</v>
      </c>
      <c r="E96" t="s">
        <v>23</v>
      </c>
      <c r="F96" t="s">
        <v>24</v>
      </c>
      <c r="G96">
        <v>48</v>
      </c>
      <c r="N96" s="2" t="s">
        <v>25</v>
      </c>
      <c r="P96" t="s">
        <v>26</v>
      </c>
      <c r="Q96" t="s">
        <v>33</v>
      </c>
      <c r="R96" t="s">
        <v>28</v>
      </c>
      <c r="S96" t="s">
        <v>29</v>
      </c>
      <c r="T96">
        <v>12</v>
      </c>
    </row>
    <row r="97" spans="1:20" x14ac:dyDescent="0.45">
      <c r="A97" t="s">
        <v>21</v>
      </c>
      <c r="B97">
        <v>2025</v>
      </c>
      <c r="C97" t="s">
        <v>22</v>
      </c>
      <c r="D97" s="1">
        <v>45816</v>
      </c>
      <c r="E97" t="s">
        <v>23</v>
      </c>
      <c r="F97" t="s">
        <v>24</v>
      </c>
      <c r="G97">
        <v>48</v>
      </c>
      <c r="N97" s="2" t="s">
        <v>25</v>
      </c>
      <c r="P97" t="s">
        <v>26</v>
      </c>
      <c r="Q97" t="s">
        <v>27</v>
      </c>
      <c r="R97" t="s">
        <v>28</v>
      </c>
      <c r="S97" t="s">
        <v>29</v>
      </c>
      <c r="T97">
        <v>5</v>
      </c>
    </row>
    <row r="98" spans="1:20" x14ac:dyDescent="0.45">
      <c r="A98" t="s">
        <v>21</v>
      </c>
      <c r="B98">
        <v>2025</v>
      </c>
      <c r="C98" t="s">
        <v>22</v>
      </c>
      <c r="D98" s="1">
        <v>45816</v>
      </c>
      <c r="E98" t="s">
        <v>23</v>
      </c>
      <c r="F98" t="s">
        <v>24</v>
      </c>
      <c r="G98">
        <v>48</v>
      </c>
      <c r="N98" s="2" t="s">
        <v>25</v>
      </c>
      <c r="P98" t="s">
        <v>26</v>
      </c>
      <c r="Q98" t="s">
        <v>30</v>
      </c>
      <c r="R98" t="s">
        <v>28</v>
      </c>
      <c r="S98" t="s">
        <v>29</v>
      </c>
      <c r="T98">
        <v>32</v>
      </c>
    </row>
    <row r="99" spans="1:20" x14ac:dyDescent="0.45">
      <c r="A99" t="s">
        <v>21</v>
      </c>
      <c r="B99">
        <v>2025</v>
      </c>
      <c r="C99" t="s">
        <v>22</v>
      </c>
      <c r="D99" s="1">
        <v>45816</v>
      </c>
      <c r="E99" t="s">
        <v>23</v>
      </c>
      <c r="F99" t="s">
        <v>24</v>
      </c>
      <c r="G99">
        <v>48</v>
      </c>
      <c r="N99" s="2" t="s">
        <v>25</v>
      </c>
      <c r="P99" t="s">
        <v>26</v>
      </c>
      <c r="Q99" t="s">
        <v>31</v>
      </c>
      <c r="R99" t="s">
        <v>28</v>
      </c>
      <c r="S99" t="s">
        <v>29</v>
      </c>
      <c r="T99">
        <v>32</v>
      </c>
    </row>
    <row r="100" spans="1:20" x14ac:dyDescent="0.45">
      <c r="A100" t="s">
        <v>21</v>
      </c>
      <c r="B100">
        <v>2025</v>
      </c>
      <c r="C100" t="s">
        <v>22</v>
      </c>
      <c r="D100" s="1">
        <v>45816</v>
      </c>
      <c r="E100" t="s">
        <v>23</v>
      </c>
      <c r="F100" t="s">
        <v>24</v>
      </c>
      <c r="G100">
        <v>48</v>
      </c>
      <c r="N100" s="2" t="s">
        <v>25</v>
      </c>
      <c r="P100" t="s">
        <v>26</v>
      </c>
      <c r="Q100" t="s">
        <v>32</v>
      </c>
      <c r="R100" t="s">
        <v>28</v>
      </c>
      <c r="S100" t="s">
        <v>29</v>
      </c>
      <c r="T100">
        <v>15</v>
      </c>
    </row>
    <row r="101" spans="1:20" x14ac:dyDescent="0.45">
      <c r="A101" t="s">
        <v>21</v>
      </c>
      <c r="B101">
        <v>2025</v>
      </c>
      <c r="C101" t="s">
        <v>22</v>
      </c>
      <c r="D101" s="1">
        <v>45816</v>
      </c>
      <c r="E101" t="s">
        <v>23</v>
      </c>
      <c r="F101" t="s">
        <v>24</v>
      </c>
      <c r="G101">
        <v>48</v>
      </c>
      <c r="N101" s="2" t="s">
        <v>25</v>
      </c>
      <c r="P101" t="s">
        <v>26</v>
      </c>
      <c r="Q101" t="s">
        <v>33</v>
      </c>
      <c r="R101" t="s">
        <v>28</v>
      </c>
      <c r="S101" t="s">
        <v>29</v>
      </c>
      <c r="T101">
        <v>16</v>
      </c>
    </row>
    <row r="102" spans="1:20" x14ac:dyDescent="0.45">
      <c r="A102" t="s">
        <v>21</v>
      </c>
      <c r="B102">
        <v>2025</v>
      </c>
      <c r="C102" t="s">
        <v>34</v>
      </c>
      <c r="D102" s="1">
        <v>45823</v>
      </c>
      <c r="E102" t="s">
        <v>23</v>
      </c>
      <c r="F102" t="s">
        <v>24</v>
      </c>
      <c r="G102">
        <v>48</v>
      </c>
      <c r="N102" s="2" t="s">
        <v>25</v>
      </c>
      <c r="P102" t="s">
        <v>26</v>
      </c>
      <c r="Q102" t="s">
        <v>27</v>
      </c>
      <c r="R102" t="s">
        <v>28</v>
      </c>
      <c r="S102" t="s">
        <v>29</v>
      </c>
      <c r="T102">
        <v>4</v>
      </c>
    </row>
    <row r="103" spans="1:20" x14ac:dyDescent="0.45">
      <c r="A103" t="s">
        <v>21</v>
      </c>
      <c r="B103">
        <v>2025</v>
      </c>
      <c r="C103" t="s">
        <v>34</v>
      </c>
      <c r="D103" s="1">
        <v>45823</v>
      </c>
      <c r="E103" t="s">
        <v>23</v>
      </c>
      <c r="F103" t="s">
        <v>24</v>
      </c>
      <c r="G103">
        <v>48</v>
      </c>
      <c r="N103" s="2" t="s">
        <v>25</v>
      </c>
      <c r="P103" t="s">
        <v>26</v>
      </c>
      <c r="Q103" t="s">
        <v>30</v>
      </c>
      <c r="R103" t="s">
        <v>28</v>
      </c>
      <c r="S103" t="s">
        <v>29</v>
      </c>
      <c r="T103">
        <v>38</v>
      </c>
    </row>
    <row r="104" spans="1:20" x14ac:dyDescent="0.45">
      <c r="A104" t="s">
        <v>21</v>
      </c>
      <c r="B104">
        <v>2025</v>
      </c>
      <c r="C104" t="s">
        <v>34</v>
      </c>
      <c r="D104" s="1">
        <v>45823</v>
      </c>
      <c r="E104" t="s">
        <v>23</v>
      </c>
      <c r="F104" t="s">
        <v>24</v>
      </c>
      <c r="G104">
        <v>48</v>
      </c>
      <c r="N104" s="2" t="s">
        <v>25</v>
      </c>
      <c r="P104" t="s">
        <v>26</v>
      </c>
      <c r="Q104" t="s">
        <v>31</v>
      </c>
      <c r="R104" t="s">
        <v>28</v>
      </c>
      <c r="S104" t="s">
        <v>29</v>
      </c>
      <c r="T104">
        <v>31</v>
      </c>
    </row>
    <row r="105" spans="1:20" x14ac:dyDescent="0.45">
      <c r="A105" t="s">
        <v>21</v>
      </c>
      <c r="B105">
        <v>2025</v>
      </c>
      <c r="C105" t="s">
        <v>34</v>
      </c>
      <c r="D105" s="1">
        <v>45823</v>
      </c>
      <c r="E105" t="s">
        <v>23</v>
      </c>
      <c r="F105" t="s">
        <v>24</v>
      </c>
      <c r="G105">
        <v>48</v>
      </c>
      <c r="N105" s="2" t="s">
        <v>25</v>
      </c>
      <c r="P105" t="s">
        <v>26</v>
      </c>
      <c r="Q105" t="s">
        <v>32</v>
      </c>
      <c r="R105" t="s">
        <v>28</v>
      </c>
      <c r="S105" t="s">
        <v>29</v>
      </c>
      <c r="T105">
        <v>18</v>
      </c>
    </row>
    <row r="106" spans="1:20" x14ac:dyDescent="0.45">
      <c r="A106" t="s">
        <v>21</v>
      </c>
      <c r="B106">
        <v>2025</v>
      </c>
      <c r="C106" t="s">
        <v>34</v>
      </c>
      <c r="D106" s="1">
        <v>45823</v>
      </c>
      <c r="E106" t="s">
        <v>23</v>
      </c>
      <c r="F106" t="s">
        <v>24</v>
      </c>
      <c r="G106">
        <v>48</v>
      </c>
      <c r="N106" s="2" t="s">
        <v>25</v>
      </c>
      <c r="P106" t="s">
        <v>26</v>
      </c>
      <c r="Q106" t="s">
        <v>33</v>
      </c>
      <c r="R106" t="s">
        <v>28</v>
      </c>
      <c r="S106" t="s">
        <v>29</v>
      </c>
      <c r="T106">
        <v>9</v>
      </c>
    </row>
    <row r="107" spans="1:20" x14ac:dyDescent="0.45">
      <c r="A107" t="s">
        <v>21</v>
      </c>
      <c r="B107">
        <v>2025</v>
      </c>
      <c r="C107" t="s">
        <v>35</v>
      </c>
      <c r="D107" s="1">
        <v>45830</v>
      </c>
      <c r="E107" t="s">
        <v>23</v>
      </c>
      <c r="F107" t="s">
        <v>24</v>
      </c>
      <c r="G107">
        <v>48</v>
      </c>
      <c r="N107" s="2" t="s">
        <v>25</v>
      </c>
      <c r="P107" t="s">
        <v>26</v>
      </c>
      <c r="Q107" t="s">
        <v>27</v>
      </c>
      <c r="R107" t="s">
        <v>28</v>
      </c>
      <c r="S107" t="s">
        <v>29</v>
      </c>
      <c r="T107">
        <v>5</v>
      </c>
    </row>
    <row r="108" spans="1:20" x14ac:dyDescent="0.45">
      <c r="A108" t="s">
        <v>21</v>
      </c>
      <c r="B108">
        <v>2025</v>
      </c>
      <c r="C108" t="s">
        <v>35</v>
      </c>
      <c r="D108" s="1">
        <v>45830</v>
      </c>
      <c r="E108" t="s">
        <v>23</v>
      </c>
      <c r="F108" t="s">
        <v>24</v>
      </c>
      <c r="G108">
        <v>48</v>
      </c>
      <c r="N108" s="2" t="s">
        <v>25</v>
      </c>
      <c r="P108" t="s">
        <v>26</v>
      </c>
      <c r="Q108" t="s">
        <v>30</v>
      </c>
      <c r="R108" t="s">
        <v>28</v>
      </c>
      <c r="S108" t="s">
        <v>29</v>
      </c>
      <c r="T108">
        <v>37</v>
      </c>
    </row>
    <row r="109" spans="1:20" x14ac:dyDescent="0.45">
      <c r="A109" t="s">
        <v>21</v>
      </c>
      <c r="B109">
        <v>2025</v>
      </c>
      <c r="C109" t="s">
        <v>35</v>
      </c>
      <c r="D109" s="1">
        <v>45830</v>
      </c>
      <c r="E109" t="s">
        <v>23</v>
      </c>
      <c r="F109" t="s">
        <v>24</v>
      </c>
      <c r="G109">
        <v>48</v>
      </c>
      <c r="N109" s="2" t="s">
        <v>25</v>
      </c>
      <c r="P109" t="s">
        <v>26</v>
      </c>
      <c r="Q109" t="s">
        <v>31</v>
      </c>
      <c r="R109" t="s">
        <v>28</v>
      </c>
      <c r="S109" t="s">
        <v>29</v>
      </c>
      <c r="T109">
        <v>30</v>
      </c>
    </row>
    <row r="110" spans="1:20" x14ac:dyDescent="0.45">
      <c r="A110" t="s">
        <v>21</v>
      </c>
      <c r="B110">
        <v>2025</v>
      </c>
      <c r="C110" t="s">
        <v>35</v>
      </c>
      <c r="D110" s="1">
        <v>45830</v>
      </c>
      <c r="E110" t="s">
        <v>23</v>
      </c>
      <c r="F110" t="s">
        <v>24</v>
      </c>
      <c r="G110">
        <v>48</v>
      </c>
      <c r="N110" s="2" t="s">
        <v>25</v>
      </c>
      <c r="P110" t="s">
        <v>26</v>
      </c>
      <c r="Q110" t="s">
        <v>32</v>
      </c>
      <c r="R110" t="s">
        <v>28</v>
      </c>
      <c r="S110" t="s">
        <v>29</v>
      </c>
      <c r="T110">
        <v>19</v>
      </c>
    </row>
    <row r="111" spans="1:20" x14ac:dyDescent="0.45">
      <c r="A111" t="s">
        <v>21</v>
      </c>
      <c r="B111">
        <v>2025</v>
      </c>
      <c r="C111" t="s">
        <v>35</v>
      </c>
      <c r="D111" s="1">
        <v>45830</v>
      </c>
      <c r="E111" t="s">
        <v>23</v>
      </c>
      <c r="F111" t="s">
        <v>24</v>
      </c>
      <c r="G111">
        <v>48</v>
      </c>
      <c r="N111" s="2" t="s">
        <v>25</v>
      </c>
      <c r="P111" t="s">
        <v>26</v>
      </c>
      <c r="Q111" t="s">
        <v>33</v>
      </c>
      <c r="R111" t="s">
        <v>28</v>
      </c>
      <c r="S111" t="s">
        <v>29</v>
      </c>
      <c r="T111">
        <v>9</v>
      </c>
    </row>
    <row r="112" spans="1:20" x14ac:dyDescent="0.45">
      <c r="A112" t="s">
        <v>21</v>
      </c>
      <c r="B112">
        <v>2025</v>
      </c>
      <c r="C112" t="s">
        <v>36</v>
      </c>
      <c r="D112" s="1">
        <v>45837</v>
      </c>
      <c r="E112" t="s">
        <v>23</v>
      </c>
      <c r="F112" t="s">
        <v>24</v>
      </c>
      <c r="G112">
        <v>48</v>
      </c>
      <c r="N112" s="2" t="s">
        <v>25</v>
      </c>
      <c r="P112" t="s">
        <v>26</v>
      </c>
      <c r="Q112" t="s">
        <v>27</v>
      </c>
      <c r="R112" t="s">
        <v>28</v>
      </c>
      <c r="S112" t="s">
        <v>29</v>
      </c>
      <c r="T112">
        <v>7</v>
      </c>
    </row>
    <row r="113" spans="1:20" x14ac:dyDescent="0.45">
      <c r="A113" t="s">
        <v>21</v>
      </c>
      <c r="B113">
        <v>2025</v>
      </c>
      <c r="C113" t="s">
        <v>36</v>
      </c>
      <c r="D113" s="1">
        <v>45837</v>
      </c>
      <c r="E113" t="s">
        <v>23</v>
      </c>
      <c r="F113" t="s">
        <v>24</v>
      </c>
      <c r="G113">
        <v>48</v>
      </c>
      <c r="N113" s="2" t="s">
        <v>25</v>
      </c>
      <c r="P113" t="s">
        <v>26</v>
      </c>
      <c r="Q113" t="s">
        <v>30</v>
      </c>
      <c r="R113" t="s">
        <v>28</v>
      </c>
      <c r="S113" t="s">
        <v>29</v>
      </c>
      <c r="T113">
        <v>35</v>
      </c>
    </row>
    <row r="114" spans="1:20" x14ac:dyDescent="0.45">
      <c r="A114" t="s">
        <v>21</v>
      </c>
      <c r="B114">
        <v>2025</v>
      </c>
      <c r="C114" t="s">
        <v>36</v>
      </c>
      <c r="D114" s="1">
        <v>45837</v>
      </c>
      <c r="E114" t="s">
        <v>23</v>
      </c>
      <c r="F114" t="s">
        <v>24</v>
      </c>
      <c r="G114">
        <v>48</v>
      </c>
      <c r="N114" s="2" t="s">
        <v>25</v>
      </c>
      <c r="P114" t="s">
        <v>26</v>
      </c>
      <c r="Q114" t="s">
        <v>31</v>
      </c>
      <c r="R114" t="s">
        <v>28</v>
      </c>
      <c r="S114" t="s">
        <v>29</v>
      </c>
      <c r="T114">
        <v>33</v>
      </c>
    </row>
    <row r="115" spans="1:20" x14ac:dyDescent="0.45">
      <c r="A115" t="s">
        <v>21</v>
      </c>
      <c r="B115">
        <v>2025</v>
      </c>
      <c r="C115" t="s">
        <v>36</v>
      </c>
      <c r="D115" s="1">
        <v>45837</v>
      </c>
      <c r="E115" t="s">
        <v>23</v>
      </c>
      <c r="F115" t="s">
        <v>24</v>
      </c>
      <c r="G115">
        <v>48</v>
      </c>
      <c r="N115" s="2" t="s">
        <v>25</v>
      </c>
      <c r="P115" t="s">
        <v>26</v>
      </c>
      <c r="Q115" t="s">
        <v>32</v>
      </c>
      <c r="R115" t="s">
        <v>28</v>
      </c>
      <c r="S115" t="s">
        <v>29</v>
      </c>
      <c r="T115">
        <v>16</v>
      </c>
    </row>
    <row r="116" spans="1:20" x14ac:dyDescent="0.45">
      <c r="A116" t="s">
        <v>21</v>
      </c>
      <c r="B116">
        <v>2025</v>
      </c>
      <c r="C116" t="s">
        <v>36</v>
      </c>
      <c r="D116" s="1">
        <v>45837</v>
      </c>
      <c r="E116" t="s">
        <v>23</v>
      </c>
      <c r="F116" t="s">
        <v>24</v>
      </c>
      <c r="G116">
        <v>48</v>
      </c>
      <c r="N116" s="2" t="s">
        <v>25</v>
      </c>
      <c r="P116" t="s">
        <v>26</v>
      </c>
      <c r="Q116" t="s">
        <v>33</v>
      </c>
      <c r="R116" t="s">
        <v>28</v>
      </c>
      <c r="S116" t="s">
        <v>29</v>
      </c>
      <c r="T116">
        <v>9</v>
      </c>
    </row>
    <row r="117" spans="1:20" x14ac:dyDescent="0.45">
      <c r="A117" t="s">
        <v>21</v>
      </c>
      <c r="B117">
        <v>2025</v>
      </c>
      <c r="C117" t="s">
        <v>37</v>
      </c>
      <c r="D117" s="1">
        <v>45844</v>
      </c>
      <c r="E117" t="s">
        <v>23</v>
      </c>
      <c r="F117" t="s">
        <v>24</v>
      </c>
      <c r="G117">
        <v>48</v>
      </c>
      <c r="N117" s="2" t="s">
        <v>25</v>
      </c>
      <c r="P117" t="s">
        <v>26</v>
      </c>
      <c r="Q117" t="s">
        <v>27</v>
      </c>
      <c r="R117" t="s">
        <v>28</v>
      </c>
      <c r="S117" t="s">
        <v>29</v>
      </c>
      <c r="T117">
        <v>6</v>
      </c>
    </row>
    <row r="118" spans="1:20" x14ac:dyDescent="0.45">
      <c r="A118" t="s">
        <v>21</v>
      </c>
      <c r="B118">
        <v>2025</v>
      </c>
      <c r="C118" t="s">
        <v>37</v>
      </c>
      <c r="D118" s="1">
        <v>45844</v>
      </c>
      <c r="E118" t="s">
        <v>23</v>
      </c>
      <c r="F118" t="s">
        <v>24</v>
      </c>
      <c r="G118">
        <v>48</v>
      </c>
      <c r="N118" s="2" t="s">
        <v>25</v>
      </c>
      <c r="P118" t="s">
        <v>26</v>
      </c>
      <c r="Q118" t="s">
        <v>30</v>
      </c>
      <c r="R118" t="s">
        <v>28</v>
      </c>
      <c r="S118" t="s">
        <v>29</v>
      </c>
      <c r="T118">
        <v>33</v>
      </c>
    </row>
    <row r="119" spans="1:20" x14ac:dyDescent="0.45">
      <c r="A119" t="s">
        <v>21</v>
      </c>
      <c r="B119">
        <v>2025</v>
      </c>
      <c r="C119" t="s">
        <v>37</v>
      </c>
      <c r="D119" s="1">
        <v>45844</v>
      </c>
      <c r="E119" t="s">
        <v>23</v>
      </c>
      <c r="F119" t="s">
        <v>24</v>
      </c>
      <c r="G119">
        <v>48</v>
      </c>
      <c r="N119" s="2" t="s">
        <v>25</v>
      </c>
      <c r="P119" t="s">
        <v>26</v>
      </c>
      <c r="Q119" t="s">
        <v>31</v>
      </c>
      <c r="R119" t="s">
        <v>28</v>
      </c>
      <c r="S119" t="s">
        <v>29</v>
      </c>
      <c r="T119">
        <v>36</v>
      </c>
    </row>
    <row r="120" spans="1:20" x14ac:dyDescent="0.45">
      <c r="A120" t="s">
        <v>21</v>
      </c>
      <c r="B120">
        <v>2025</v>
      </c>
      <c r="C120" t="s">
        <v>37</v>
      </c>
      <c r="D120" s="1">
        <v>45844</v>
      </c>
      <c r="E120" t="s">
        <v>23</v>
      </c>
      <c r="F120" t="s">
        <v>24</v>
      </c>
      <c r="G120">
        <v>48</v>
      </c>
      <c r="N120" s="2" t="s">
        <v>25</v>
      </c>
      <c r="P120" t="s">
        <v>26</v>
      </c>
      <c r="Q120" t="s">
        <v>32</v>
      </c>
      <c r="R120" t="s">
        <v>28</v>
      </c>
      <c r="S120" t="s">
        <v>29</v>
      </c>
      <c r="T120">
        <v>15</v>
      </c>
    </row>
    <row r="121" spans="1:20" x14ac:dyDescent="0.45">
      <c r="A121" t="s">
        <v>21</v>
      </c>
      <c r="B121">
        <v>2025</v>
      </c>
      <c r="C121" t="s">
        <v>37</v>
      </c>
      <c r="D121" s="1">
        <v>45844</v>
      </c>
      <c r="E121" t="s">
        <v>23</v>
      </c>
      <c r="F121" t="s">
        <v>24</v>
      </c>
      <c r="G121">
        <v>48</v>
      </c>
      <c r="N121" s="2" t="s">
        <v>25</v>
      </c>
      <c r="P121" t="s">
        <v>26</v>
      </c>
      <c r="Q121" t="s">
        <v>33</v>
      </c>
      <c r="R121" t="s">
        <v>28</v>
      </c>
      <c r="S121" t="s">
        <v>29</v>
      </c>
      <c r="T121">
        <v>10</v>
      </c>
    </row>
    <row r="122" spans="1:20" x14ac:dyDescent="0.45">
      <c r="A122" t="s">
        <v>21</v>
      </c>
      <c r="B122">
        <v>2025</v>
      </c>
      <c r="C122" t="s">
        <v>38</v>
      </c>
      <c r="D122" s="1">
        <v>45851</v>
      </c>
      <c r="E122" t="s">
        <v>23</v>
      </c>
      <c r="F122" t="s">
        <v>24</v>
      </c>
      <c r="G122">
        <v>48</v>
      </c>
      <c r="N122" s="2" t="s">
        <v>25</v>
      </c>
      <c r="P122" t="s">
        <v>26</v>
      </c>
      <c r="Q122" t="s">
        <v>27</v>
      </c>
      <c r="R122" t="s">
        <v>28</v>
      </c>
      <c r="S122" t="s">
        <v>29</v>
      </c>
      <c r="T122">
        <v>8</v>
      </c>
    </row>
    <row r="123" spans="1:20" x14ac:dyDescent="0.45">
      <c r="A123" t="s">
        <v>21</v>
      </c>
      <c r="B123">
        <v>2025</v>
      </c>
      <c r="C123" t="s">
        <v>38</v>
      </c>
      <c r="D123" s="1">
        <v>45851</v>
      </c>
      <c r="E123" t="s">
        <v>23</v>
      </c>
      <c r="F123" t="s">
        <v>24</v>
      </c>
      <c r="G123">
        <v>48</v>
      </c>
      <c r="N123" s="2" t="s">
        <v>25</v>
      </c>
      <c r="P123" t="s">
        <v>26</v>
      </c>
      <c r="Q123" t="s">
        <v>30</v>
      </c>
      <c r="R123" t="s">
        <v>28</v>
      </c>
      <c r="S123" t="s">
        <v>29</v>
      </c>
      <c r="T123">
        <v>29</v>
      </c>
    </row>
    <row r="124" spans="1:20" x14ac:dyDescent="0.45">
      <c r="A124" t="s">
        <v>21</v>
      </c>
      <c r="B124">
        <v>2025</v>
      </c>
      <c r="C124" t="s">
        <v>38</v>
      </c>
      <c r="D124" s="1">
        <v>45851</v>
      </c>
      <c r="E124" t="s">
        <v>23</v>
      </c>
      <c r="F124" t="s">
        <v>24</v>
      </c>
      <c r="G124">
        <v>48</v>
      </c>
      <c r="N124" s="2" t="s">
        <v>25</v>
      </c>
      <c r="P124" t="s">
        <v>26</v>
      </c>
      <c r="Q124" t="s">
        <v>31</v>
      </c>
      <c r="R124" t="s">
        <v>28</v>
      </c>
      <c r="S124" t="s">
        <v>29</v>
      </c>
      <c r="T124">
        <v>38</v>
      </c>
    </row>
    <row r="125" spans="1:20" x14ac:dyDescent="0.45">
      <c r="A125" t="s">
        <v>21</v>
      </c>
      <c r="B125">
        <v>2025</v>
      </c>
      <c r="C125" t="s">
        <v>38</v>
      </c>
      <c r="D125" s="1">
        <v>45851</v>
      </c>
      <c r="E125" t="s">
        <v>23</v>
      </c>
      <c r="F125" t="s">
        <v>24</v>
      </c>
      <c r="G125">
        <v>48</v>
      </c>
      <c r="N125" s="2" t="s">
        <v>25</v>
      </c>
      <c r="P125" t="s">
        <v>26</v>
      </c>
      <c r="Q125" t="s">
        <v>32</v>
      </c>
      <c r="R125" t="s">
        <v>28</v>
      </c>
      <c r="S125" t="s">
        <v>29</v>
      </c>
      <c r="T125">
        <v>14</v>
      </c>
    </row>
    <row r="126" spans="1:20" x14ac:dyDescent="0.45">
      <c r="A126" t="s">
        <v>21</v>
      </c>
      <c r="B126">
        <v>2025</v>
      </c>
      <c r="C126" t="s">
        <v>38</v>
      </c>
      <c r="D126" s="1">
        <v>45851</v>
      </c>
      <c r="E126" t="s">
        <v>23</v>
      </c>
      <c r="F126" t="s">
        <v>24</v>
      </c>
      <c r="G126">
        <v>48</v>
      </c>
      <c r="N126" s="2" t="s">
        <v>25</v>
      </c>
      <c r="P126" t="s">
        <v>26</v>
      </c>
      <c r="Q126" t="s">
        <v>33</v>
      </c>
      <c r="R126" t="s">
        <v>28</v>
      </c>
      <c r="S126" t="s">
        <v>29</v>
      </c>
      <c r="T126">
        <v>11</v>
      </c>
    </row>
    <row r="127" spans="1:20" x14ac:dyDescent="0.45">
      <c r="A127" t="s">
        <v>21</v>
      </c>
      <c r="B127">
        <v>2025</v>
      </c>
      <c r="C127" t="s">
        <v>39</v>
      </c>
      <c r="D127" s="1">
        <v>45858</v>
      </c>
      <c r="E127" t="s">
        <v>23</v>
      </c>
      <c r="F127" t="s">
        <v>24</v>
      </c>
      <c r="G127">
        <v>48</v>
      </c>
      <c r="N127" s="2" t="s">
        <v>25</v>
      </c>
      <c r="P127" t="s">
        <v>26</v>
      </c>
      <c r="Q127" t="s">
        <v>27</v>
      </c>
      <c r="R127" t="s">
        <v>28</v>
      </c>
      <c r="S127" t="s">
        <v>29</v>
      </c>
      <c r="T127">
        <v>9</v>
      </c>
    </row>
    <row r="128" spans="1:20" x14ac:dyDescent="0.45">
      <c r="A128" t="s">
        <v>21</v>
      </c>
      <c r="B128">
        <v>2025</v>
      </c>
      <c r="C128" t="s">
        <v>39</v>
      </c>
      <c r="D128" s="1">
        <v>45858</v>
      </c>
      <c r="E128" t="s">
        <v>23</v>
      </c>
      <c r="F128" t="s">
        <v>24</v>
      </c>
      <c r="G128">
        <v>48</v>
      </c>
      <c r="N128" s="2" t="s">
        <v>25</v>
      </c>
      <c r="P128" t="s">
        <v>26</v>
      </c>
      <c r="Q128" t="s">
        <v>30</v>
      </c>
      <c r="R128" t="s">
        <v>28</v>
      </c>
      <c r="S128" t="s">
        <v>29</v>
      </c>
      <c r="T128">
        <v>30</v>
      </c>
    </row>
    <row r="129" spans="1:20" x14ac:dyDescent="0.45">
      <c r="A129" t="s">
        <v>21</v>
      </c>
      <c r="B129">
        <v>2025</v>
      </c>
      <c r="C129" t="s">
        <v>39</v>
      </c>
      <c r="D129" s="1">
        <v>45858</v>
      </c>
      <c r="E129" t="s">
        <v>23</v>
      </c>
      <c r="F129" t="s">
        <v>24</v>
      </c>
      <c r="G129">
        <v>48</v>
      </c>
      <c r="N129" s="2" t="s">
        <v>25</v>
      </c>
      <c r="P129" t="s">
        <v>26</v>
      </c>
      <c r="Q129" t="s">
        <v>31</v>
      </c>
      <c r="R129" t="s">
        <v>28</v>
      </c>
      <c r="S129" t="s">
        <v>29</v>
      </c>
      <c r="T129">
        <v>43</v>
      </c>
    </row>
    <row r="130" spans="1:20" x14ac:dyDescent="0.45">
      <c r="A130" t="s">
        <v>21</v>
      </c>
      <c r="B130">
        <v>2025</v>
      </c>
      <c r="C130" t="s">
        <v>39</v>
      </c>
      <c r="D130" s="1">
        <v>45858</v>
      </c>
      <c r="E130" t="s">
        <v>23</v>
      </c>
      <c r="F130" t="s">
        <v>24</v>
      </c>
      <c r="G130">
        <v>48</v>
      </c>
      <c r="N130" s="2" t="s">
        <v>25</v>
      </c>
      <c r="P130" t="s">
        <v>26</v>
      </c>
      <c r="Q130" t="s">
        <v>32</v>
      </c>
      <c r="R130" t="s">
        <v>28</v>
      </c>
      <c r="S130" t="s">
        <v>29</v>
      </c>
      <c r="T130">
        <v>9</v>
      </c>
    </row>
    <row r="131" spans="1:20" x14ac:dyDescent="0.45">
      <c r="A131" t="s">
        <v>21</v>
      </c>
      <c r="B131">
        <v>2025</v>
      </c>
      <c r="C131" t="s">
        <v>39</v>
      </c>
      <c r="D131" s="1">
        <v>45858</v>
      </c>
      <c r="E131" t="s">
        <v>23</v>
      </c>
      <c r="F131" t="s">
        <v>24</v>
      </c>
      <c r="G131">
        <v>48</v>
      </c>
      <c r="N131" s="2" t="s">
        <v>25</v>
      </c>
      <c r="P131" t="s">
        <v>26</v>
      </c>
      <c r="Q131" t="s">
        <v>33</v>
      </c>
      <c r="R131" t="s">
        <v>28</v>
      </c>
      <c r="S131" t="s">
        <v>29</v>
      </c>
      <c r="T131">
        <v>9</v>
      </c>
    </row>
    <row r="132" spans="1:20" x14ac:dyDescent="0.45">
      <c r="A132" t="s">
        <v>21</v>
      </c>
      <c r="B132">
        <v>2025</v>
      </c>
      <c r="C132" t="s">
        <v>40</v>
      </c>
      <c r="D132" s="1">
        <v>45865</v>
      </c>
      <c r="E132" t="s">
        <v>23</v>
      </c>
      <c r="F132" t="s">
        <v>24</v>
      </c>
      <c r="G132">
        <v>48</v>
      </c>
      <c r="N132" s="2" t="s">
        <v>25</v>
      </c>
      <c r="P132" t="s">
        <v>26</v>
      </c>
      <c r="Q132" t="s">
        <v>27</v>
      </c>
      <c r="R132" t="s">
        <v>28</v>
      </c>
      <c r="S132" t="s">
        <v>29</v>
      </c>
      <c r="T132">
        <v>13</v>
      </c>
    </row>
    <row r="133" spans="1:20" x14ac:dyDescent="0.45">
      <c r="A133" t="s">
        <v>21</v>
      </c>
      <c r="B133">
        <v>2025</v>
      </c>
      <c r="C133" t="s">
        <v>40</v>
      </c>
      <c r="D133" s="1">
        <v>45865</v>
      </c>
      <c r="E133" t="s">
        <v>23</v>
      </c>
      <c r="F133" t="s">
        <v>24</v>
      </c>
      <c r="G133">
        <v>48</v>
      </c>
      <c r="N133" s="2" t="s">
        <v>25</v>
      </c>
      <c r="P133" t="s">
        <v>26</v>
      </c>
      <c r="Q133" t="s">
        <v>30</v>
      </c>
      <c r="R133" t="s">
        <v>28</v>
      </c>
      <c r="S133" t="s">
        <v>29</v>
      </c>
      <c r="T133">
        <v>32</v>
      </c>
    </row>
    <row r="134" spans="1:20" x14ac:dyDescent="0.45">
      <c r="A134" t="s">
        <v>21</v>
      </c>
      <c r="B134">
        <v>2025</v>
      </c>
      <c r="C134" t="s">
        <v>40</v>
      </c>
      <c r="D134" s="1">
        <v>45865</v>
      </c>
      <c r="E134" t="s">
        <v>23</v>
      </c>
      <c r="F134" t="s">
        <v>24</v>
      </c>
      <c r="G134">
        <v>48</v>
      </c>
      <c r="N134" s="2" t="s">
        <v>25</v>
      </c>
      <c r="P134" t="s">
        <v>26</v>
      </c>
      <c r="Q134" t="s">
        <v>31</v>
      </c>
      <c r="R134" t="s">
        <v>28</v>
      </c>
      <c r="S134" t="s">
        <v>29</v>
      </c>
      <c r="T134">
        <v>37</v>
      </c>
    </row>
    <row r="135" spans="1:20" x14ac:dyDescent="0.45">
      <c r="A135" t="s">
        <v>21</v>
      </c>
      <c r="B135">
        <v>2025</v>
      </c>
      <c r="C135" t="s">
        <v>40</v>
      </c>
      <c r="D135" s="1">
        <v>45865</v>
      </c>
      <c r="E135" t="s">
        <v>23</v>
      </c>
      <c r="F135" t="s">
        <v>24</v>
      </c>
      <c r="G135">
        <v>48</v>
      </c>
      <c r="N135" s="2" t="s">
        <v>25</v>
      </c>
      <c r="P135" t="s">
        <v>26</v>
      </c>
      <c r="Q135" t="s">
        <v>32</v>
      </c>
      <c r="R135" t="s">
        <v>28</v>
      </c>
      <c r="S135" t="s">
        <v>29</v>
      </c>
      <c r="T135">
        <v>7</v>
      </c>
    </row>
    <row r="136" spans="1:20" x14ac:dyDescent="0.45">
      <c r="A136" t="s">
        <v>21</v>
      </c>
      <c r="B136">
        <v>2025</v>
      </c>
      <c r="C136" t="s">
        <v>40</v>
      </c>
      <c r="D136" s="1">
        <v>45865</v>
      </c>
      <c r="E136" t="s">
        <v>23</v>
      </c>
      <c r="F136" t="s">
        <v>24</v>
      </c>
      <c r="G136">
        <v>48</v>
      </c>
      <c r="N136" s="2" t="s">
        <v>25</v>
      </c>
      <c r="P136" t="s">
        <v>26</v>
      </c>
      <c r="Q136" t="s">
        <v>33</v>
      </c>
      <c r="R136" t="s">
        <v>28</v>
      </c>
      <c r="S136" t="s">
        <v>29</v>
      </c>
      <c r="T136">
        <v>11</v>
      </c>
    </row>
    <row r="137" spans="1:20" x14ac:dyDescent="0.45">
      <c r="A137" t="s">
        <v>21</v>
      </c>
      <c r="B137">
        <v>2025</v>
      </c>
      <c r="C137" t="s">
        <v>41</v>
      </c>
      <c r="D137" s="1">
        <v>45872</v>
      </c>
      <c r="E137" t="s">
        <v>23</v>
      </c>
      <c r="F137" t="s">
        <v>24</v>
      </c>
      <c r="G137">
        <v>48</v>
      </c>
      <c r="N137" s="2" t="s">
        <v>25</v>
      </c>
      <c r="P137" t="s">
        <v>26</v>
      </c>
      <c r="Q137" t="s">
        <v>27</v>
      </c>
      <c r="R137" t="s">
        <v>28</v>
      </c>
      <c r="S137" t="s">
        <v>29</v>
      </c>
      <c r="T137">
        <v>10</v>
      </c>
    </row>
    <row r="138" spans="1:20" x14ac:dyDescent="0.45">
      <c r="A138" t="s">
        <v>21</v>
      </c>
      <c r="B138">
        <v>2025</v>
      </c>
      <c r="C138" t="s">
        <v>41</v>
      </c>
      <c r="D138" s="1">
        <v>45872</v>
      </c>
      <c r="E138" t="s">
        <v>23</v>
      </c>
      <c r="F138" t="s">
        <v>24</v>
      </c>
      <c r="G138">
        <v>48</v>
      </c>
      <c r="N138" s="2" t="s">
        <v>25</v>
      </c>
      <c r="P138" t="s">
        <v>26</v>
      </c>
      <c r="Q138" t="s">
        <v>30</v>
      </c>
      <c r="R138" t="s">
        <v>28</v>
      </c>
      <c r="S138" t="s">
        <v>29</v>
      </c>
      <c r="T138">
        <v>32</v>
      </c>
    </row>
    <row r="139" spans="1:20" x14ac:dyDescent="0.45">
      <c r="A139" t="s">
        <v>21</v>
      </c>
      <c r="B139">
        <v>2025</v>
      </c>
      <c r="C139" t="s">
        <v>41</v>
      </c>
      <c r="D139" s="1">
        <v>45872</v>
      </c>
      <c r="E139" t="s">
        <v>23</v>
      </c>
      <c r="F139" t="s">
        <v>24</v>
      </c>
      <c r="G139">
        <v>48</v>
      </c>
      <c r="N139" s="2" t="s">
        <v>25</v>
      </c>
      <c r="P139" t="s">
        <v>26</v>
      </c>
      <c r="Q139" t="s">
        <v>31</v>
      </c>
      <c r="R139" t="s">
        <v>28</v>
      </c>
      <c r="S139" t="s">
        <v>29</v>
      </c>
      <c r="T139">
        <v>36</v>
      </c>
    </row>
    <row r="140" spans="1:20" x14ac:dyDescent="0.45">
      <c r="A140" t="s">
        <v>21</v>
      </c>
      <c r="B140">
        <v>2025</v>
      </c>
      <c r="C140" t="s">
        <v>41</v>
      </c>
      <c r="D140" s="1">
        <v>45872</v>
      </c>
      <c r="E140" t="s">
        <v>23</v>
      </c>
      <c r="F140" t="s">
        <v>24</v>
      </c>
      <c r="G140">
        <v>48</v>
      </c>
      <c r="N140" s="2" t="s">
        <v>25</v>
      </c>
      <c r="P140" t="s">
        <v>26</v>
      </c>
      <c r="Q140" t="s">
        <v>32</v>
      </c>
      <c r="R140" t="s">
        <v>28</v>
      </c>
      <c r="S140" t="s">
        <v>29</v>
      </c>
      <c r="T140">
        <v>14</v>
      </c>
    </row>
    <row r="141" spans="1:20" x14ac:dyDescent="0.45">
      <c r="A141" t="s">
        <v>21</v>
      </c>
      <c r="B141">
        <v>2025</v>
      </c>
      <c r="C141" t="s">
        <v>41</v>
      </c>
      <c r="D141" s="1">
        <v>45872</v>
      </c>
      <c r="E141" t="s">
        <v>23</v>
      </c>
      <c r="F141" t="s">
        <v>24</v>
      </c>
      <c r="G141">
        <v>48</v>
      </c>
      <c r="N141" s="2" t="s">
        <v>25</v>
      </c>
      <c r="P141" t="s">
        <v>26</v>
      </c>
      <c r="Q141" t="s">
        <v>33</v>
      </c>
      <c r="R141" t="s">
        <v>28</v>
      </c>
      <c r="S141" t="s">
        <v>29</v>
      </c>
      <c r="T141">
        <v>8</v>
      </c>
    </row>
    <row r="142" spans="1:20" x14ac:dyDescent="0.45">
      <c r="A142" t="s">
        <v>21</v>
      </c>
      <c r="B142">
        <v>2025</v>
      </c>
      <c r="C142" t="s">
        <v>42</v>
      </c>
      <c r="D142" s="1">
        <v>45879</v>
      </c>
      <c r="E142" t="s">
        <v>23</v>
      </c>
      <c r="F142" t="s">
        <v>24</v>
      </c>
      <c r="G142">
        <v>48</v>
      </c>
      <c r="N142" s="2" t="s">
        <v>25</v>
      </c>
      <c r="P142" t="s">
        <v>26</v>
      </c>
      <c r="Q142" t="s">
        <v>27</v>
      </c>
      <c r="R142" t="s">
        <v>28</v>
      </c>
      <c r="S142" t="s">
        <v>29</v>
      </c>
      <c r="T142">
        <v>10</v>
      </c>
    </row>
    <row r="143" spans="1:20" x14ac:dyDescent="0.45">
      <c r="A143" t="s">
        <v>21</v>
      </c>
      <c r="B143">
        <v>2025</v>
      </c>
      <c r="C143" t="s">
        <v>42</v>
      </c>
      <c r="D143" s="1">
        <v>45879</v>
      </c>
      <c r="E143" t="s">
        <v>23</v>
      </c>
      <c r="F143" t="s">
        <v>24</v>
      </c>
      <c r="G143">
        <v>48</v>
      </c>
      <c r="N143" s="2" t="s">
        <v>25</v>
      </c>
      <c r="P143" t="s">
        <v>26</v>
      </c>
      <c r="Q143" t="s">
        <v>30</v>
      </c>
      <c r="R143" t="s">
        <v>28</v>
      </c>
      <c r="S143" t="s">
        <v>29</v>
      </c>
      <c r="T143">
        <v>30</v>
      </c>
    </row>
    <row r="144" spans="1:20" x14ac:dyDescent="0.45">
      <c r="A144" t="s">
        <v>21</v>
      </c>
      <c r="B144">
        <v>2025</v>
      </c>
      <c r="C144" t="s">
        <v>42</v>
      </c>
      <c r="D144" s="1">
        <v>45879</v>
      </c>
      <c r="E144" t="s">
        <v>23</v>
      </c>
      <c r="F144" t="s">
        <v>24</v>
      </c>
      <c r="G144">
        <v>48</v>
      </c>
      <c r="N144" s="2" t="s">
        <v>25</v>
      </c>
      <c r="P144" t="s">
        <v>26</v>
      </c>
      <c r="Q144" t="s">
        <v>31</v>
      </c>
      <c r="R144" t="s">
        <v>28</v>
      </c>
      <c r="S144" t="s">
        <v>29</v>
      </c>
      <c r="T144">
        <v>34</v>
      </c>
    </row>
    <row r="145" spans="1:20" x14ac:dyDescent="0.45">
      <c r="A145" t="s">
        <v>21</v>
      </c>
      <c r="B145">
        <v>2025</v>
      </c>
      <c r="C145" t="s">
        <v>42</v>
      </c>
      <c r="D145" s="1">
        <v>45879</v>
      </c>
      <c r="E145" t="s">
        <v>23</v>
      </c>
      <c r="F145" t="s">
        <v>24</v>
      </c>
      <c r="G145">
        <v>48</v>
      </c>
      <c r="N145" s="2" t="s">
        <v>25</v>
      </c>
      <c r="P145" t="s">
        <v>26</v>
      </c>
      <c r="Q145" t="s">
        <v>32</v>
      </c>
      <c r="R145" t="s">
        <v>28</v>
      </c>
      <c r="S145" t="s">
        <v>29</v>
      </c>
      <c r="T145">
        <v>15</v>
      </c>
    </row>
    <row r="146" spans="1:20" x14ac:dyDescent="0.45">
      <c r="A146" t="s">
        <v>21</v>
      </c>
      <c r="B146">
        <v>2025</v>
      </c>
      <c r="C146" t="s">
        <v>42</v>
      </c>
      <c r="D146" s="1">
        <v>45879</v>
      </c>
      <c r="E146" t="s">
        <v>23</v>
      </c>
      <c r="F146" t="s">
        <v>24</v>
      </c>
      <c r="G146">
        <v>48</v>
      </c>
      <c r="N146" s="2" t="s">
        <v>25</v>
      </c>
      <c r="P146" t="s">
        <v>26</v>
      </c>
      <c r="Q146" t="s">
        <v>33</v>
      </c>
      <c r="R146" t="s">
        <v>28</v>
      </c>
      <c r="S146" t="s">
        <v>29</v>
      </c>
      <c r="T146">
        <v>11</v>
      </c>
    </row>
    <row r="147" spans="1:20" x14ac:dyDescent="0.45">
      <c r="A147" t="s">
        <v>21</v>
      </c>
      <c r="B147">
        <v>2025</v>
      </c>
      <c r="C147" t="s">
        <v>43</v>
      </c>
      <c r="D147" s="1">
        <v>45886</v>
      </c>
      <c r="E147" t="s">
        <v>23</v>
      </c>
      <c r="F147" t="s">
        <v>24</v>
      </c>
      <c r="G147">
        <v>48</v>
      </c>
      <c r="N147" s="2" t="s">
        <v>25</v>
      </c>
      <c r="P147" t="s">
        <v>26</v>
      </c>
      <c r="Q147" t="s">
        <v>27</v>
      </c>
      <c r="R147" t="s">
        <v>28</v>
      </c>
      <c r="S147" t="s">
        <v>29</v>
      </c>
      <c r="T147">
        <v>12</v>
      </c>
    </row>
    <row r="148" spans="1:20" x14ac:dyDescent="0.45">
      <c r="A148" t="s">
        <v>21</v>
      </c>
      <c r="B148">
        <v>2025</v>
      </c>
      <c r="C148" t="s">
        <v>43</v>
      </c>
      <c r="D148" s="1">
        <v>45886</v>
      </c>
      <c r="E148" t="s">
        <v>23</v>
      </c>
      <c r="F148" t="s">
        <v>24</v>
      </c>
      <c r="G148">
        <v>48</v>
      </c>
      <c r="N148" s="2" t="s">
        <v>25</v>
      </c>
      <c r="P148" t="s">
        <v>26</v>
      </c>
      <c r="Q148" t="s">
        <v>30</v>
      </c>
      <c r="R148" t="s">
        <v>28</v>
      </c>
      <c r="S148" t="s">
        <v>29</v>
      </c>
      <c r="T148">
        <v>33</v>
      </c>
    </row>
    <row r="149" spans="1:20" x14ac:dyDescent="0.45">
      <c r="A149" t="s">
        <v>21</v>
      </c>
      <c r="B149">
        <v>2025</v>
      </c>
      <c r="C149" t="s">
        <v>43</v>
      </c>
      <c r="D149" s="1">
        <v>45886</v>
      </c>
      <c r="E149" t="s">
        <v>23</v>
      </c>
      <c r="F149" t="s">
        <v>24</v>
      </c>
      <c r="G149">
        <v>48</v>
      </c>
      <c r="N149" s="2" t="s">
        <v>25</v>
      </c>
      <c r="P149" t="s">
        <v>26</v>
      </c>
      <c r="Q149" t="s">
        <v>31</v>
      </c>
      <c r="R149" t="s">
        <v>28</v>
      </c>
      <c r="S149" t="s">
        <v>29</v>
      </c>
      <c r="T149">
        <v>37</v>
      </c>
    </row>
    <row r="150" spans="1:20" x14ac:dyDescent="0.45">
      <c r="A150" t="s">
        <v>21</v>
      </c>
      <c r="B150">
        <v>2025</v>
      </c>
      <c r="C150" t="s">
        <v>43</v>
      </c>
      <c r="D150" s="1">
        <v>45886</v>
      </c>
      <c r="E150" t="s">
        <v>23</v>
      </c>
      <c r="F150" t="s">
        <v>24</v>
      </c>
      <c r="G150">
        <v>48</v>
      </c>
      <c r="N150" s="2" t="s">
        <v>25</v>
      </c>
      <c r="P150" t="s">
        <v>26</v>
      </c>
      <c r="Q150" t="s">
        <v>32</v>
      </c>
      <c r="R150" t="s">
        <v>28</v>
      </c>
      <c r="S150" t="s">
        <v>29</v>
      </c>
      <c r="T150">
        <v>13</v>
      </c>
    </row>
    <row r="151" spans="1:20" x14ac:dyDescent="0.45">
      <c r="A151" t="s">
        <v>21</v>
      </c>
      <c r="B151">
        <v>2025</v>
      </c>
      <c r="C151" t="s">
        <v>43</v>
      </c>
      <c r="D151" s="1">
        <v>45886</v>
      </c>
      <c r="E151" t="s">
        <v>23</v>
      </c>
      <c r="F151" t="s">
        <v>24</v>
      </c>
      <c r="G151">
        <v>48</v>
      </c>
      <c r="N151" s="2" t="s">
        <v>25</v>
      </c>
      <c r="P151" t="s">
        <v>26</v>
      </c>
      <c r="Q151" t="s">
        <v>33</v>
      </c>
      <c r="R151" t="s">
        <v>28</v>
      </c>
      <c r="S151" t="s">
        <v>29</v>
      </c>
      <c r="T151">
        <v>5</v>
      </c>
    </row>
    <row r="152" spans="1:20" x14ac:dyDescent="0.45">
      <c r="A152" t="s">
        <v>21</v>
      </c>
      <c r="B152">
        <v>2025</v>
      </c>
      <c r="C152" t="s">
        <v>44</v>
      </c>
      <c r="D152" s="1">
        <v>45893</v>
      </c>
      <c r="E152" t="s">
        <v>23</v>
      </c>
      <c r="F152" t="s">
        <v>24</v>
      </c>
      <c r="G152">
        <v>48</v>
      </c>
      <c r="N152" s="2" t="s">
        <v>25</v>
      </c>
      <c r="P152" t="s">
        <v>26</v>
      </c>
      <c r="Q152" t="s">
        <v>27</v>
      </c>
      <c r="R152" t="s">
        <v>28</v>
      </c>
      <c r="S152" t="s">
        <v>29</v>
      </c>
      <c r="T152">
        <v>10</v>
      </c>
    </row>
    <row r="153" spans="1:20" x14ac:dyDescent="0.45">
      <c r="A153" t="s">
        <v>21</v>
      </c>
      <c r="B153">
        <v>2025</v>
      </c>
      <c r="C153" t="s">
        <v>44</v>
      </c>
      <c r="D153" s="1">
        <v>45893</v>
      </c>
      <c r="E153" t="s">
        <v>23</v>
      </c>
      <c r="F153" t="s">
        <v>24</v>
      </c>
      <c r="G153">
        <v>48</v>
      </c>
      <c r="N153" s="2" t="s">
        <v>25</v>
      </c>
      <c r="P153" t="s">
        <v>26</v>
      </c>
      <c r="Q153" t="s">
        <v>30</v>
      </c>
      <c r="R153" t="s">
        <v>28</v>
      </c>
      <c r="S153" t="s">
        <v>29</v>
      </c>
      <c r="T153">
        <v>37</v>
      </c>
    </row>
    <row r="154" spans="1:20" x14ac:dyDescent="0.45">
      <c r="A154" t="s">
        <v>21</v>
      </c>
      <c r="B154">
        <v>2025</v>
      </c>
      <c r="C154" t="s">
        <v>44</v>
      </c>
      <c r="D154" s="1">
        <v>45893</v>
      </c>
      <c r="E154" t="s">
        <v>23</v>
      </c>
      <c r="F154" t="s">
        <v>24</v>
      </c>
      <c r="G154">
        <v>48</v>
      </c>
      <c r="N154" s="2" t="s">
        <v>25</v>
      </c>
      <c r="P154" t="s">
        <v>26</v>
      </c>
      <c r="Q154" t="s">
        <v>31</v>
      </c>
      <c r="R154" t="s">
        <v>28</v>
      </c>
      <c r="S154" t="s">
        <v>29</v>
      </c>
      <c r="T154">
        <v>35</v>
      </c>
    </row>
    <row r="155" spans="1:20" x14ac:dyDescent="0.45">
      <c r="A155" t="s">
        <v>21</v>
      </c>
      <c r="B155">
        <v>2025</v>
      </c>
      <c r="C155" t="s">
        <v>44</v>
      </c>
      <c r="D155" s="1">
        <v>45893</v>
      </c>
      <c r="E155" t="s">
        <v>23</v>
      </c>
      <c r="F155" t="s">
        <v>24</v>
      </c>
      <c r="G155">
        <v>48</v>
      </c>
      <c r="N155" s="2" t="s">
        <v>25</v>
      </c>
      <c r="P155" t="s">
        <v>26</v>
      </c>
      <c r="Q155" t="s">
        <v>32</v>
      </c>
      <c r="R155" t="s">
        <v>28</v>
      </c>
      <c r="S155" t="s">
        <v>29</v>
      </c>
      <c r="T155">
        <v>13</v>
      </c>
    </row>
    <row r="156" spans="1:20" x14ac:dyDescent="0.45">
      <c r="A156" t="s">
        <v>21</v>
      </c>
      <c r="B156">
        <v>2025</v>
      </c>
      <c r="C156" t="s">
        <v>44</v>
      </c>
      <c r="D156" s="1">
        <v>45893</v>
      </c>
      <c r="E156" t="s">
        <v>23</v>
      </c>
      <c r="F156" t="s">
        <v>24</v>
      </c>
      <c r="G156">
        <v>48</v>
      </c>
      <c r="N156" s="2" t="s">
        <v>25</v>
      </c>
      <c r="P156" t="s">
        <v>26</v>
      </c>
      <c r="Q156" t="s">
        <v>33</v>
      </c>
      <c r="R156" t="s">
        <v>28</v>
      </c>
      <c r="S156" t="s">
        <v>29</v>
      </c>
      <c r="T156">
        <v>5</v>
      </c>
    </row>
    <row r="157" spans="1:20" x14ac:dyDescent="0.45">
      <c r="A157" t="s">
        <v>21</v>
      </c>
      <c r="B157">
        <v>2025</v>
      </c>
      <c r="C157" t="s">
        <v>45</v>
      </c>
      <c r="D157" s="1">
        <v>45900</v>
      </c>
      <c r="E157" t="s">
        <v>23</v>
      </c>
      <c r="F157" t="s">
        <v>24</v>
      </c>
      <c r="G157">
        <v>48</v>
      </c>
      <c r="N157" s="2" t="s">
        <v>25</v>
      </c>
      <c r="P157" t="s">
        <v>26</v>
      </c>
      <c r="Q157" t="s">
        <v>27</v>
      </c>
      <c r="R157" t="s">
        <v>28</v>
      </c>
      <c r="S157" t="s">
        <v>29</v>
      </c>
      <c r="T157">
        <v>6</v>
      </c>
    </row>
    <row r="158" spans="1:20" x14ac:dyDescent="0.45">
      <c r="A158" t="s">
        <v>21</v>
      </c>
      <c r="B158">
        <v>2025</v>
      </c>
      <c r="C158" t="s">
        <v>45</v>
      </c>
      <c r="D158" s="1">
        <v>45900</v>
      </c>
      <c r="E158" t="s">
        <v>23</v>
      </c>
      <c r="F158" t="s">
        <v>24</v>
      </c>
      <c r="G158">
        <v>48</v>
      </c>
      <c r="N158" s="2" t="s">
        <v>25</v>
      </c>
      <c r="P158" t="s">
        <v>26</v>
      </c>
      <c r="Q158" t="s">
        <v>30</v>
      </c>
      <c r="R158" t="s">
        <v>28</v>
      </c>
      <c r="S158" t="s">
        <v>29</v>
      </c>
      <c r="T158">
        <v>40</v>
      </c>
    </row>
    <row r="159" spans="1:20" x14ac:dyDescent="0.45">
      <c r="A159" t="s">
        <v>21</v>
      </c>
      <c r="B159">
        <v>2025</v>
      </c>
      <c r="C159" t="s">
        <v>45</v>
      </c>
      <c r="D159" s="1">
        <v>45900</v>
      </c>
      <c r="E159" t="s">
        <v>23</v>
      </c>
      <c r="F159" t="s">
        <v>24</v>
      </c>
      <c r="G159">
        <v>48</v>
      </c>
      <c r="N159" s="2" t="s">
        <v>25</v>
      </c>
      <c r="P159" t="s">
        <v>26</v>
      </c>
      <c r="Q159" t="s">
        <v>31</v>
      </c>
      <c r="R159" t="s">
        <v>28</v>
      </c>
      <c r="S159" t="s">
        <v>29</v>
      </c>
      <c r="T159">
        <v>38</v>
      </c>
    </row>
    <row r="160" spans="1:20" x14ac:dyDescent="0.45">
      <c r="A160" t="s">
        <v>21</v>
      </c>
      <c r="B160">
        <v>2025</v>
      </c>
      <c r="C160" t="s">
        <v>45</v>
      </c>
      <c r="D160" s="1">
        <v>45900</v>
      </c>
      <c r="E160" t="s">
        <v>23</v>
      </c>
      <c r="F160" t="s">
        <v>24</v>
      </c>
      <c r="G160">
        <v>48</v>
      </c>
      <c r="N160" s="2" t="s">
        <v>25</v>
      </c>
      <c r="P160" t="s">
        <v>26</v>
      </c>
      <c r="Q160" t="s">
        <v>32</v>
      </c>
      <c r="R160" t="s">
        <v>28</v>
      </c>
      <c r="S160" t="s">
        <v>29</v>
      </c>
      <c r="T160">
        <v>14</v>
      </c>
    </row>
    <row r="161" spans="1:20" x14ac:dyDescent="0.45">
      <c r="A161" t="s">
        <v>21</v>
      </c>
      <c r="B161">
        <v>2025</v>
      </c>
      <c r="C161" t="s">
        <v>45</v>
      </c>
      <c r="D161" s="1">
        <v>45900</v>
      </c>
      <c r="E161" t="s">
        <v>23</v>
      </c>
      <c r="F161" t="s">
        <v>24</v>
      </c>
      <c r="G161">
        <v>48</v>
      </c>
      <c r="N161" s="2" t="s">
        <v>25</v>
      </c>
      <c r="P161" t="s">
        <v>26</v>
      </c>
      <c r="Q161" t="s">
        <v>33</v>
      </c>
      <c r="R161" t="s">
        <v>28</v>
      </c>
      <c r="S161" t="s">
        <v>29</v>
      </c>
      <c r="T161">
        <v>2</v>
      </c>
    </row>
    <row r="162" spans="1:20" x14ac:dyDescent="0.45">
      <c r="A162" t="s">
        <v>21</v>
      </c>
      <c r="B162">
        <v>2025</v>
      </c>
      <c r="C162" t="s">
        <v>46</v>
      </c>
      <c r="D162" s="1">
        <v>45907</v>
      </c>
      <c r="E162" t="s">
        <v>23</v>
      </c>
      <c r="F162" t="s">
        <v>24</v>
      </c>
      <c r="G162">
        <v>48</v>
      </c>
      <c r="N162" s="2" t="s">
        <v>25</v>
      </c>
      <c r="P162" t="s">
        <v>26</v>
      </c>
      <c r="Q162" t="s">
        <v>27</v>
      </c>
      <c r="R162" t="s">
        <v>28</v>
      </c>
      <c r="S162" t="s">
        <v>29</v>
      </c>
      <c r="T162">
        <v>7</v>
      </c>
    </row>
    <row r="163" spans="1:20" x14ac:dyDescent="0.45">
      <c r="A163" t="s">
        <v>21</v>
      </c>
      <c r="B163">
        <v>2025</v>
      </c>
      <c r="C163" t="s">
        <v>46</v>
      </c>
      <c r="D163" s="1">
        <v>45907</v>
      </c>
      <c r="E163" t="s">
        <v>23</v>
      </c>
      <c r="F163" t="s">
        <v>24</v>
      </c>
      <c r="G163">
        <v>48</v>
      </c>
      <c r="N163" s="2" t="s">
        <v>25</v>
      </c>
      <c r="P163" t="s">
        <v>26</v>
      </c>
      <c r="Q163" t="s">
        <v>30</v>
      </c>
      <c r="R163" t="s">
        <v>28</v>
      </c>
      <c r="S163" t="s">
        <v>29</v>
      </c>
      <c r="T163">
        <v>39</v>
      </c>
    </row>
    <row r="164" spans="1:20" x14ac:dyDescent="0.45">
      <c r="A164" t="s">
        <v>21</v>
      </c>
      <c r="B164">
        <v>2025</v>
      </c>
      <c r="C164" t="s">
        <v>46</v>
      </c>
      <c r="D164" s="1">
        <v>45907</v>
      </c>
      <c r="E164" t="s">
        <v>23</v>
      </c>
      <c r="F164" t="s">
        <v>24</v>
      </c>
      <c r="G164">
        <v>48</v>
      </c>
      <c r="N164" s="2" t="s">
        <v>25</v>
      </c>
      <c r="P164" t="s">
        <v>26</v>
      </c>
      <c r="Q164" t="s">
        <v>31</v>
      </c>
      <c r="R164" t="s">
        <v>28</v>
      </c>
      <c r="S164" t="s">
        <v>29</v>
      </c>
      <c r="T164">
        <v>41</v>
      </c>
    </row>
    <row r="165" spans="1:20" x14ac:dyDescent="0.45">
      <c r="A165" t="s">
        <v>21</v>
      </c>
      <c r="B165">
        <v>2025</v>
      </c>
      <c r="C165" t="s">
        <v>46</v>
      </c>
      <c r="D165" s="1">
        <v>45907</v>
      </c>
      <c r="E165" t="s">
        <v>23</v>
      </c>
      <c r="F165" t="s">
        <v>24</v>
      </c>
      <c r="G165">
        <v>48</v>
      </c>
      <c r="N165" s="2" t="s">
        <v>25</v>
      </c>
      <c r="P165" t="s">
        <v>26</v>
      </c>
      <c r="Q165" t="s">
        <v>32</v>
      </c>
      <c r="R165" t="s">
        <v>28</v>
      </c>
      <c r="S165" t="s">
        <v>29</v>
      </c>
      <c r="T165">
        <v>11</v>
      </c>
    </row>
    <row r="166" spans="1:20" x14ac:dyDescent="0.45">
      <c r="A166" t="s">
        <v>21</v>
      </c>
      <c r="B166">
        <v>2025</v>
      </c>
      <c r="C166" t="s">
        <v>46</v>
      </c>
      <c r="D166" s="1">
        <v>45907</v>
      </c>
      <c r="E166" t="s">
        <v>23</v>
      </c>
      <c r="F166" t="s">
        <v>24</v>
      </c>
      <c r="G166">
        <v>48</v>
      </c>
      <c r="N166" s="2" t="s">
        <v>25</v>
      </c>
      <c r="P166" t="s">
        <v>26</v>
      </c>
      <c r="Q166" t="s">
        <v>33</v>
      </c>
      <c r="R166" t="s">
        <v>28</v>
      </c>
      <c r="S166" t="s">
        <v>29</v>
      </c>
      <c r="T166">
        <v>2</v>
      </c>
    </row>
    <row r="167" spans="1:20" x14ac:dyDescent="0.45">
      <c r="A167" t="s">
        <v>21</v>
      </c>
      <c r="B167">
        <v>2025</v>
      </c>
      <c r="C167" t="s">
        <v>47</v>
      </c>
      <c r="D167" s="1">
        <v>45914</v>
      </c>
      <c r="E167" t="s">
        <v>23</v>
      </c>
      <c r="F167" t="s">
        <v>24</v>
      </c>
      <c r="G167">
        <v>48</v>
      </c>
      <c r="N167" s="2" t="s">
        <v>25</v>
      </c>
      <c r="P167" t="s">
        <v>26</v>
      </c>
      <c r="Q167" t="s">
        <v>27</v>
      </c>
      <c r="R167" t="s">
        <v>28</v>
      </c>
      <c r="S167" t="s">
        <v>29</v>
      </c>
      <c r="T167">
        <v>10</v>
      </c>
    </row>
    <row r="168" spans="1:20" x14ac:dyDescent="0.45">
      <c r="A168" t="s">
        <v>21</v>
      </c>
      <c r="B168">
        <v>2025</v>
      </c>
      <c r="C168" t="s">
        <v>47</v>
      </c>
      <c r="D168" s="1">
        <v>45914</v>
      </c>
      <c r="E168" t="s">
        <v>23</v>
      </c>
      <c r="F168" t="s">
        <v>24</v>
      </c>
      <c r="G168">
        <v>48</v>
      </c>
      <c r="N168" s="2" t="s">
        <v>25</v>
      </c>
      <c r="P168" t="s">
        <v>26</v>
      </c>
      <c r="Q168" t="s">
        <v>30</v>
      </c>
      <c r="R168" t="s">
        <v>28</v>
      </c>
      <c r="S168" t="s">
        <v>29</v>
      </c>
      <c r="T168">
        <v>37</v>
      </c>
    </row>
    <row r="169" spans="1:20" x14ac:dyDescent="0.45">
      <c r="A169" t="s">
        <v>21</v>
      </c>
      <c r="B169">
        <v>2025</v>
      </c>
      <c r="C169" t="s">
        <v>47</v>
      </c>
      <c r="D169" s="1">
        <v>45914</v>
      </c>
      <c r="E169" t="s">
        <v>23</v>
      </c>
      <c r="F169" t="s">
        <v>24</v>
      </c>
      <c r="G169">
        <v>48</v>
      </c>
      <c r="N169" s="2" t="s">
        <v>25</v>
      </c>
      <c r="P169" t="s">
        <v>26</v>
      </c>
      <c r="Q169" t="s">
        <v>31</v>
      </c>
      <c r="R169" t="s">
        <v>28</v>
      </c>
      <c r="S169" t="s">
        <v>29</v>
      </c>
      <c r="T169">
        <v>37</v>
      </c>
    </row>
    <row r="170" spans="1:20" x14ac:dyDescent="0.45">
      <c r="A170" t="s">
        <v>21</v>
      </c>
      <c r="B170">
        <v>2025</v>
      </c>
      <c r="C170" t="s">
        <v>47</v>
      </c>
      <c r="D170" s="1">
        <v>45914</v>
      </c>
      <c r="E170" t="s">
        <v>23</v>
      </c>
      <c r="F170" t="s">
        <v>24</v>
      </c>
      <c r="G170">
        <v>48</v>
      </c>
      <c r="N170" s="2" t="s">
        <v>25</v>
      </c>
      <c r="P170" t="s">
        <v>26</v>
      </c>
      <c r="Q170" t="s">
        <v>32</v>
      </c>
      <c r="R170" t="s">
        <v>28</v>
      </c>
      <c r="S170" t="s">
        <v>29</v>
      </c>
      <c r="T170">
        <v>11</v>
      </c>
    </row>
    <row r="171" spans="1:20" x14ac:dyDescent="0.45">
      <c r="A171" t="s">
        <v>21</v>
      </c>
      <c r="B171">
        <v>2025</v>
      </c>
      <c r="C171" t="s">
        <v>47</v>
      </c>
      <c r="D171" s="1">
        <v>45914</v>
      </c>
      <c r="E171" t="s">
        <v>23</v>
      </c>
      <c r="F171" t="s">
        <v>24</v>
      </c>
      <c r="G171">
        <v>48</v>
      </c>
      <c r="N171" s="2" t="s">
        <v>25</v>
      </c>
      <c r="P171" t="s">
        <v>26</v>
      </c>
      <c r="Q171" t="s">
        <v>33</v>
      </c>
      <c r="R171" t="s">
        <v>28</v>
      </c>
      <c r="S171" t="s">
        <v>29</v>
      </c>
      <c r="T171">
        <v>5</v>
      </c>
    </row>
    <row r="172" spans="1:20" x14ac:dyDescent="0.45">
      <c r="A172" t="s">
        <v>21</v>
      </c>
      <c r="B172">
        <v>2025</v>
      </c>
      <c r="C172" t="s">
        <v>48</v>
      </c>
      <c r="D172" s="1">
        <v>45921</v>
      </c>
      <c r="E172" t="s">
        <v>23</v>
      </c>
      <c r="F172" t="s">
        <v>24</v>
      </c>
      <c r="G172">
        <v>48</v>
      </c>
      <c r="N172" s="2" t="s">
        <v>25</v>
      </c>
      <c r="P172" t="s">
        <v>26</v>
      </c>
      <c r="Q172" t="s">
        <v>27</v>
      </c>
      <c r="R172" t="s">
        <v>28</v>
      </c>
      <c r="S172" t="s">
        <v>29</v>
      </c>
      <c r="T172">
        <v>11</v>
      </c>
    </row>
    <row r="173" spans="1:20" x14ac:dyDescent="0.45">
      <c r="A173" t="s">
        <v>21</v>
      </c>
      <c r="B173">
        <v>2025</v>
      </c>
      <c r="C173" t="s">
        <v>48</v>
      </c>
      <c r="D173" s="1">
        <v>45921</v>
      </c>
      <c r="E173" t="s">
        <v>23</v>
      </c>
      <c r="F173" t="s">
        <v>24</v>
      </c>
      <c r="G173">
        <v>48</v>
      </c>
      <c r="N173" s="2" t="s">
        <v>25</v>
      </c>
      <c r="P173" t="s">
        <v>26</v>
      </c>
      <c r="Q173" t="s">
        <v>30</v>
      </c>
      <c r="R173" t="s">
        <v>28</v>
      </c>
      <c r="S173" t="s">
        <v>29</v>
      </c>
      <c r="T173">
        <v>37</v>
      </c>
    </row>
    <row r="174" spans="1:20" x14ac:dyDescent="0.45">
      <c r="A174" t="s">
        <v>21</v>
      </c>
      <c r="B174">
        <v>2025</v>
      </c>
      <c r="C174" t="s">
        <v>48</v>
      </c>
      <c r="D174" s="1">
        <v>45921</v>
      </c>
      <c r="E174" t="s">
        <v>23</v>
      </c>
      <c r="F174" t="s">
        <v>24</v>
      </c>
      <c r="G174">
        <v>48</v>
      </c>
      <c r="N174" s="2" t="s">
        <v>25</v>
      </c>
      <c r="P174" t="s">
        <v>26</v>
      </c>
      <c r="Q174" t="s">
        <v>31</v>
      </c>
      <c r="R174" t="s">
        <v>28</v>
      </c>
      <c r="S174" t="s">
        <v>29</v>
      </c>
      <c r="T174">
        <v>30</v>
      </c>
    </row>
    <row r="175" spans="1:20" x14ac:dyDescent="0.45">
      <c r="A175" t="s">
        <v>21</v>
      </c>
      <c r="B175">
        <v>2025</v>
      </c>
      <c r="C175" t="s">
        <v>48</v>
      </c>
      <c r="D175" s="1">
        <v>45921</v>
      </c>
      <c r="E175" t="s">
        <v>23</v>
      </c>
      <c r="F175" t="s">
        <v>24</v>
      </c>
      <c r="G175">
        <v>48</v>
      </c>
      <c r="N175" s="2" t="s">
        <v>25</v>
      </c>
      <c r="P175" t="s">
        <v>26</v>
      </c>
      <c r="Q175" t="s">
        <v>32</v>
      </c>
      <c r="R175" t="s">
        <v>28</v>
      </c>
      <c r="S175" t="s">
        <v>29</v>
      </c>
      <c r="T175">
        <v>15</v>
      </c>
    </row>
    <row r="176" spans="1:20" x14ac:dyDescent="0.45">
      <c r="A176" t="s">
        <v>21</v>
      </c>
      <c r="B176">
        <v>2025</v>
      </c>
      <c r="C176" t="s">
        <v>48</v>
      </c>
      <c r="D176" s="1">
        <v>45921</v>
      </c>
      <c r="E176" t="s">
        <v>23</v>
      </c>
      <c r="F176" t="s">
        <v>24</v>
      </c>
      <c r="G176">
        <v>48</v>
      </c>
      <c r="N176" s="2" t="s">
        <v>25</v>
      </c>
      <c r="P176" t="s">
        <v>26</v>
      </c>
      <c r="Q176" t="s">
        <v>33</v>
      </c>
      <c r="R176" t="s">
        <v>28</v>
      </c>
      <c r="S176" t="s">
        <v>29</v>
      </c>
      <c r="T176">
        <v>7</v>
      </c>
    </row>
    <row r="177" spans="1:20" x14ac:dyDescent="0.45">
      <c r="A177" t="s">
        <v>21</v>
      </c>
      <c r="B177">
        <v>2025</v>
      </c>
      <c r="C177" t="s">
        <v>52</v>
      </c>
      <c r="D177" s="1">
        <v>45928</v>
      </c>
      <c r="E177" t="s">
        <v>23</v>
      </c>
      <c r="F177" t="s">
        <v>24</v>
      </c>
      <c r="G177">
        <v>48</v>
      </c>
      <c r="N177" s="2" t="s">
        <v>25</v>
      </c>
      <c r="P177" t="s">
        <v>26</v>
      </c>
      <c r="Q177" t="s">
        <v>27</v>
      </c>
      <c r="R177" t="s">
        <v>28</v>
      </c>
      <c r="S177" t="s">
        <v>29</v>
      </c>
      <c r="T177">
        <v>11</v>
      </c>
    </row>
    <row r="178" spans="1:20" x14ac:dyDescent="0.45">
      <c r="A178" t="s">
        <v>21</v>
      </c>
      <c r="B178">
        <v>2025</v>
      </c>
      <c r="C178" t="s">
        <v>52</v>
      </c>
      <c r="D178" s="1">
        <v>45928</v>
      </c>
      <c r="E178" t="s">
        <v>23</v>
      </c>
      <c r="F178" t="s">
        <v>24</v>
      </c>
      <c r="G178">
        <v>48</v>
      </c>
      <c r="N178" s="2" t="s">
        <v>25</v>
      </c>
      <c r="P178" t="s">
        <v>26</v>
      </c>
      <c r="Q178" t="s">
        <v>30</v>
      </c>
      <c r="R178" t="s">
        <v>28</v>
      </c>
      <c r="S178" t="s">
        <v>29</v>
      </c>
      <c r="T178">
        <v>38</v>
      </c>
    </row>
    <row r="179" spans="1:20" x14ac:dyDescent="0.45">
      <c r="A179" t="s">
        <v>21</v>
      </c>
      <c r="B179">
        <v>2025</v>
      </c>
      <c r="C179" t="s">
        <v>52</v>
      </c>
      <c r="D179" s="1">
        <v>45928</v>
      </c>
      <c r="E179" t="s">
        <v>23</v>
      </c>
      <c r="F179" t="s">
        <v>24</v>
      </c>
      <c r="G179">
        <v>48</v>
      </c>
      <c r="N179" s="2" t="s">
        <v>25</v>
      </c>
      <c r="P179" t="s">
        <v>26</v>
      </c>
      <c r="Q179" t="s">
        <v>31</v>
      </c>
      <c r="R179" t="s">
        <v>28</v>
      </c>
      <c r="S179" t="s">
        <v>29</v>
      </c>
      <c r="T179">
        <v>30</v>
      </c>
    </row>
    <row r="180" spans="1:20" x14ac:dyDescent="0.45">
      <c r="A180" t="s">
        <v>21</v>
      </c>
      <c r="B180">
        <v>2025</v>
      </c>
      <c r="C180" t="s">
        <v>52</v>
      </c>
      <c r="D180" s="1">
        <v>45928</v>
      </c>
      <c r="E180" t="s">
        <v>23</v>
      </c>
      <c r="F180" t="s">
        <v>24</v>
      </c>
      <c r="G180">
        <v>48</v>
      </c>
      <c r="N180" s="2" t="s">
        <v>25</v>
      </c>
      <c r="P180" t="s">
        <v>26</v>
      </c>
      <c r="Q180" t="s">
        <v>32</v>
      </c>
      <c r="R180" t="s">
        <v>28</v>
      </c>
      <c r="S180" t="s">
        <v>29</v>
      </c>
      <c r="T180">
        <v>15</v>
      </c>
    </row>
    <row r="181" spans="1:20" x14ac:dyDescent="0.45">
      <c r="A181" t="s">
        <v>21</v>
      </c>
      <c r="B181">
        <v>2025</v>
      </c>
      <c r="C181" t="s">
        <v>52</v>
      </c>
      <c r="D181" s="1">
        <v>45928</v>
      </c>
      <c r="E181" t="s">
        <v>23</v>
      </c>
      <c r="F181" t="s">
        <v>24</v>
      </c>
      <c r="G181">
        <v>48</v>
      </c>
      <c r="N181" s="2" t="s">
        <v>25</v>
      </c>
      <c r="P181" t="s">
        <v>26</v>
      </c>
      <c r="Q181" t="s">
        <v>33</v>
      </c>
      <c r="R181" t="s">
        <v>28</v>
      </c>
      <c r="S181" t="s">
        <v>29</v>
      </c>
      <c r="T181">
        <v>6</v>
      </c>
    </row>
    <row r="182" spans="1:20" x14ac:dyDescent="0.45">
      <c r="A182" t="s">
        <v>21</v>
      </c>
      <c r="B182">
        <v>2025</v>
      </c>
      <c r="C182" t="s">
        <v>53</v>
      </c>
      <c r="D182" s="1">
        <v>45977</v>
      </c>
      <c r="E182" t="s">
        <v>23</v>
      </c>
      <c r="F182" t="s">
        <v>24</v>
      </c>
      <c r="G182">
        <v>48</v>
      </c>
      <c r="N182" s="2" t="s">
        <v>25</v>
      </c>
      <c r="P182" t="s">
        <v>26</v>
      </c>
      <c r="Q182" t="s">
        <v>27</v>
      </c>
      <c r="R182" t="s">
        <v>28</v>
      </c>
      <c r="S182" t="s">
        <v>29</v>
      </c>
      <c r="T182">
        <v>6</v>
      </c>
    </row>
    <row r="183" spans="1:20" x14ac:dyDescent="0.45">
      <c r="A183" t="s">
        <v>21</v>
      </c>
      <c r="B183">
        <v>2025</v>
      </c>
      <c r="C183" t="s">
        <v>53</v>
      </c>
      <c r="D183" s="1">
        <v>45977</v>
      </c>
      <c r="E183" t="s">
        <v>23</v>
      </c>
      <c r="F183" t="s">
        <v>24</v>
      </c>
      <c r="G183">
        <v>48</v>
      </c>
      <c r="N183" s="2" t="s">
        <v>25</v>
      </c>
      <c r="P183" t="s">
        <v>26</v>
      </c>
      <c r="Q183" t="s">
        <v>30</v>
      </c>
      <c r="R183" t="s">
        <v>28</v>
      </c>
      <c r="S183" t="s">
        <v>29</v>
      </c>
      <c r="T183">
        <v>41</v>
      </c>
    </row>
    <row r="184" spans="1:20" x14ac:dyDescent="0.45">
      <c r="A184" t="s">
        <v>21</v>
      </c>
      <c r="B184">
        <v>2025</v>
      </c>
      <c r="C184" t="s">
        <v>53</v>
      </c>
      <c r="D184" s="1">
        <v>45977</v>
      </c>
      <c r="E184" t="s">
        <v>23</v>
      </c>
      <c r="F184" t="s">
        <v>24</v>
      </c>
      <c r="G184">
        <v>48</v>
      </c>
      <c r="N184" s="2" t="s">
        <v>25</v>
      </c>
      <c r="P184" t="s">
        <v>26</v>
      </c>
      <c r="Q184" t="s">
        <v>31</v>
      </c>
      <c r="R184" t="s">
        <v>28</v>
      </c>
      <c r="S184" t="s">
        <v>29</v>
      </c>
      <c r="T184">
        <v>30</v>
      </c>
    </row>
    <row r="185" spans="1:20" x14ac:dyDescent="0.45">
      <c r="A185" t="s">
        <v>21</v>
      </c>
      <c r="B185">
        <v>2025</v>
      </c>
      <c r="C185" t="s">
        <v>53</v>
      </c>
      <c r="D185" s="1">
        <v>45977</v>
      </c>
      <c r="E185" t="s">
        <v>23</v>
      </c>
      <c r="F185" t="s">
        <v>24</v>
      </c>
      <c r="G185">
        <v>48</v>
      </c>
      <c r="N185" s="2" t="s">
        <v>25</v>
      </c>
      <c r="P185" t="s">
        <v>26</v>
      </c>
      <c r="Q185" t="s">
        <v>32</v>
      </c>
      <c r="R185" t="s">
        <v>28</v>
      </c>
      <c r="S185" t="s">
        <v>29</v>
      </c>
      <c r="T185">
        <v>17</v>
      </c>
    </row>
    <row r="186" spans="1:20" x14ac:dyDescent="0.45">
      <c r="A186" t="s">
        <v>21</v>
      </c>
      <c r="B186">
        <v>2025</v>
      </c>
      <c r="C186" t="s">
        <v>53</v>
      </c>
      <c r="D186" s="1">
        <v>45977</v>
      </c>
      <c r="E186" t="s">
        <v>23</v>
      </c>
      <c r="F186" t="s">
        <v>24</v>
      </c>
      <c r="G186">
        <v>48</v>
      </c>
      <c r="N186" s="2" t="s">
        <v>25</v>
      </c>
      <c r="P186" t="s">
        <v>26</v>
      </c>
      <c r="Q186" t="s">
        <v>33</v>
      </c>
      <c r="R186" t="s">
        <v>28</v>
      </c>
      <c r="S186" t="s">
        <v>29</v>
      </c>
      <c r="T186">
        <v>6</v>
      </c>
    </row>
    <row r="187" spans="1:20" x14ac:dyDescent="0.45">
      <c r="A187" t="s">
        <v>21</v>
      </c>
      <c r="B187">
        <v>2025</v>
      </c>
      <c r="C187" t="s">
        <v>54</v>
      </c>
      <c r="D187" s="1">
        <v>45984</v>
      </c>
      <c r="E187" t="s">
        <v>23</v>
      </c>
      <c r="F187" t="s">
        <v>24</v>
      </c>
      <c r="G187">
        <v>48</v>
      </c>
      <c r="N187" s="2" t="s">
        <v>25</v>
      </c>
      <c r="P187" t="s">
        <v>26</v>
      </c>
      <c r="Q187" t="s">
        <v>27</v>
      </c>
      <c r="R187" t="s">
        <v>28</v>
      </c>
      <c r="S187" t="s">
        <v>29</v>
      </c>
      <c r="T187">
        <v>6</v>
      </c>
    </row>
    <row r="188" spans="1:20" x14ac:dyDescent="0.45">
      <c r="A188" t="s">
        <v>21</v>
      </c>
      <c r="B188">
        <v>2025</v>
      </c>
      <c r="C188" t="s">
        <v>54</v>
      </c>
      <c r="D188" s="1">
        <v>45984</v>
      </c>
      <c r="E188" t="s">
        <v>23</v>
      </c>
      <c r="F188" t="s">
        <v>24</v>
      </c>
      <c r="G188">
        <v>48</v>
      </c>
      <c r="N188" s="2" t="s">
        <v>25</v>
      </c>
      <c r="P188" t="s">
        <v>26</v>
      </c>
      <c r="Q188" t="s">
        <v>30</v>
      </c>
      <c r="R188" t="s">
        <v>28</v>
      </c>
      <c r="S188" t="s">
        <v>29</v>
      </c>
      <c r="T188">
        <v>41</v>
      </c>
    </row>
    <row r="189" spans="1:20" x14ac:dyDescent="0.45">
      <c r="A189" t="s">
        <v>21</v>
      </c>
      <c r="B189">
        <v>2025</v>
      </c>
      <c r="C189" t="s">
        <v>54</v>
      </c>
      <c r="D189" s="1">
        <v>45984</v>
      </c>
      <c r="E189" t="s">
        <v>23</v>
      </c>
      <c r="F189" t="s">
        <v>24</v>
      </c>
      <c r="G189">
        <v>48</v>
      </c>
      <c r="N189" s="2" t="s">
        <v>25</v>
      </c>
      <c r="P189" t="s">
        <v>26</v>
      </c>
      <c r="Q189" t="s">
        <v>31</v>
      </c>
      <c r="R189" t="s">
        <v>28</v>
      </c>
      <c r="S189" t="s">
        <v>29</v>
      </c>
      <c r="T189">
        <v>30</v>
      </c>
    </row>
    <row r="190" spans="1:20" x14ac:dyDescent="0.45">
      <c r="A190" t="s">
        <v>21</v>
      </c>
      <c r="B190">
        <v>2025</v>
      </c>
      <c r="C190" t="s">
        <v>54</v>
      </c>
      <c r="D190" s="1">
        <v>45984</v>
      </c>
      <c r="E190" t="s">
        <v>23</v>
      </c>
      <c r="F190" t="s">
        <v>24</v>
      </c>
      <c r="G190">
        <v>48</v>
      </c>
      <c r="N190" s="2" t="s">
        <v>25</v>
      </c>
      <c r="P190" t="s">
        <v>26</v>
      </c>
      <c r="Q190" t="s">
        <v>32</v>
      </c>
      <c r="R190" t="s">
        <v>28</v>
      </c>
      <c r="S190" t="s">
        <v>29</v>
      </c>
      <c r="T190">
        <v>17</v>
      </c>
    </row>
    <row r="191" spans="1:20" x14ac:dyDescent="0.45">
      <c r="A191" t="s">
        <v>21</v>
      </c>
      <c r="B191">
        <v>2025</v>
      </c>
      <c r="C191" t="s">
        <v>54</v>
      </c>
      <c r="D191" s="1">
        <v>45984</v>
      </c>
      <c r="E191" t="s">
        <v>23</v>
      </c>
      <c r="F191" t="s">
        <v>24</v>
      </c>
      <c r="G191">
        <v>48</v>
      </c>
      <c r="N191" s="2" t="s">
        <v>25</v>
      </c>
      <c r="P191" t="s">
        <v>26</v>
      </c>
      <c r="Q191" t="s">
        <v>33</v>
      </c>
      <c r="R191" t="s">
        <v>28</v>
      </c>
      <c r="S191" t="s">
        <v>29</v>
      </c>
      <c r="T191">
        <v>6</v>
      </c>
    </row>
    <row r="192" spans="1:20" x14ac:dyDescent="0.45">
      <c r="A192" t="s">
        <v>21</v>
      </c>
      <c r="B192">
        <v>2024</v>
      </c>
      <c r="C192" t="s">
        <v>50</v>
      </c>
      <c r="D192" s="1">
        <v>45438</v>
      </c>
      <c r="E192" t="s">
        <v>23</v>
      </c>
      <c r="F192" t="s">
        <v>24</v>
      </c>
      <c r="G192">
        <v>48</v>
      </c>
      <c r="N192" s="2" t="s">
        <v>25</v>
      </c>
      <c r="P192" t="s">
        <v>26</v>
      </c>
      <c r="Q192" t="s">
        <v>27</v>
      </c>
      <c r="R192" t="s">
        <v>28</v>
      </c>
      <c r="S192" t="s">
        <v>29</v>
      </c>
      <c r="T192">
        <v>9</v>
      </c>
    </row>
    <row r="193" spans="1:20" x14ac:dyDescent="0.45">
      <c r="A193" t="s">
        <v>21</v>
      </c>
      <c r="B193">
        <v>2024</v>
      </c>
      <c r="C193" t="s">
        <v>50</v>
      </c>
      <c r="D193" s="1">
        <v>45438</v>
      </c>
      <c r="E193" t="s">
        <v>23</v>
      </c>
      <c r="F193" t="s">
        <v>24</v>
      </c>
      <c r="G193">
        <v>48</v>
      </c>
      <c r="N193" s="2" t="s">
        <v>25</v>
      </c>
      <c r="P193" t="s">
        <v>26</v>
      </c>
      <c r="Q193" t="s">
        <v>30</v>
      </c>
      <c r="R193" t="s">
        <v>28</v>
      </c>
      <c r="S193" t="s">
        <v>29</v>
      </c>
      <c r="T193">
        <v>44</v>
      </c>
    </row>
    <row r="194" spans="1:20" x14ac:dyDescent="0.45">
      <c r="A194" t="s">
        <v>21</v>
      </c>
      <c r="B194">
        <v>2024</v>
      </c>
      <c r="C194" t="s">
        <v>50</v>
      </c>
      <c r="D194" s="1">
        <v>45438</v>
      </c>
      <c r="E194" t="s">
        <v>23</v>
      </c>
      <c r="F194" t="s">
        <v>24</v>
      </c>
      <c r="G194">
        <v>48</v>
      </c>
      <c r="N194" s="2" t="s">
        <v>25</v>
      </c>
      <c r="P194" t="s">
        <v>26</v>
      </c>
      <c r="Q194" t="s">
        <v>31</v>
      </c>
      <c r="R194" t="s">
        <v>28</v>
      </c>
      <c r="S194" t="s">
        <v>29</v>
      </c>
      <c r="T194">
        <v>40</v>
      </c>
    </row>
    <row r="195" spans="1:20" x14ac:dyDescent="0.45">
      <c r="A195" t="s">
        <v>21</v>
      </c>
      <c r="B195">
        <v>2024</v>
      </c>
      <c r="C195" t="s">
        <v>50</v>
      </c>
      <c r="D195" s="1">
        <v>45438</v>
      </c>
      <c r="E195" t="s">
        <v>23</v>
      </c>
      <c r="F195" t="s">
        <v>24</v>
      </c>
      <c r="G195">
        <v>48</v>
      </c>
      <c r="N195" s="2" t="s">
        <v>25</v>
      </c>
      <c r="P195" t="s">
        <v>26</v>
      </c>
      <c r="Q195" t="s">
        <v>32</v>
      </c>
      <c r="R195" t="s">
        <v>28</v>
      </c>
      <c r="S195" t="s">
        <v>29</v>
      </c>
      <c r="T195">
        <v>5</v>
      </c>
    </row>
    <row r="196" spans="1:20" x14ac:dyDescent="0.45">
      <c r="A196" t="s">
        <v>21</v>
      </c>
      <c r="B196">
        <v>2024</v>
      </c>
      <c r="C196" t="s">
        <v>50</v>
      </c>
      <c r="D196" s="1">
        <v>45438</v>
      </c>
      <c r="E196" t="s">
        <v>23</v>
      </c>
      <c r="F196" t="s">
        <v>24</v>
      </c>
      <c r="G196">
        <v>48</v>
      </c>
      <c r="N196" s="2" t="s">
        <v>25</v>
      </c>
      <c r="P196" t="s">
        <v>26</v>
      </c>
      <c r="Q196" t="s">
        <v>33</v>
      </c>
      <c r="R196" t="s">
        <v>28</v>
      </c>
      <c r="S196" t="s">
        <v>29</v>
      </c>
      <c r="T196">
        <v>2</v>
      </c>
    </row>
    <row r="197" spans="1:20" x14ac:dyDescent="0.45">
      <c r="A197" t="s">
        <v>21</v>
      </c>
      <c r="B197">
        <v>2024</v>
      </c>
      <c r="C197" t="s">
        <v>51</v>
      </c>
      <c r="D197" s="1">
        <v>45445</v>
      </c>
      <c r="E197" t="s">
        <v>23</v>
      </c>
      <c r="F197" t="s">
        <v>24</v>
      </c>
      <c r="G197">
        <v>48</v>
      </c>
      <c r="N197" s="2" t="s">
        <v>25</v>
      </c>
      <c r="P197" t="s">
        <v>26</v>
      </c>
      <c r="Q197" t="s">
        <v>27</v>
      </c>
      <c r="R197" t="s">
        <v>28</v>
      </c>
      <c r="S197" t="s">
        <v>29</v>
      </c>
      <c r="T197">
        <v>6</v>
      </c>
    </row>
    <row r="198" spans="1:20" x14ac:dyDescent="0.45">
      <c r="A198" t="s">
        <v>21</v>
      </c>
      <c r="B198">
        <v>2024</v>
      </c>
      <c r="C198" t="s">
        <v>51</v>
      </c>
      <c r="D198" s="1">
        <v>45445</v>
      </c>
      <c r="E198" t="s">
        <v>23</v>
      </c>
      <c r="F198" t="s">
        <v>24</v>
      </c>
      <c r="G198">
        <v>48</v>
      </c>
      <c r="N198" s="2" t="s">
        <v>25</v>
      </c>
      <c r="P198" t="s">
        <v>26</v>
      </c>
      <c r="Q198" t="s">
        <v>30</v>
      </c>
      <c r="R198" t="s">
        <v>28</v>
      </c>
      <c r="S198" t="s">
        <v>29</v>
      </c>
      <c r="T198">
        <v>37</v>
      </c>
    </row>
    <row r="199" spans="1:20" x14ac:dyDescent="0.45">
      <c r="A199" t="s">
        <v>21</v>
      </c>
      <c r="B199">
        <v>2024</v>
      </c>
      <c r="C199" t="s">
        <v>51</v>
      </c>
      <c r="D199" s="1">
        <v>45445</v>
      </c>
      <c r="E199" t="s">
        <v>23</v>
      </c>
      <c r="F199" t="s">
        <v>24</v>
      </c>
      <c r="G199">
        <v>48</v>
      </c>
      <c r="N199" s="2" t="s">
        <v>25</v>
      </c>
      <c r="P199" t="s">
        <v>26</v>
      </c>
      <c r="Q199" t="s">
        <v>31</v>
      </c>
      <c r="R199" t="s">
        <v>28</v>
      </c>
      <c r="S199" t="s">
        <v>29</v>
      </c>
      <c r="T199">
        <v>47</v>
      </c>
    </row>
    <row r="200" spans="1:20" x14ac:dyDescent="0.45">
      <c r="A200" t="s">
        <v>21</v>
      </c>
      <c r="B200">
        <v>2024</v>
      </c>
      <c r="C200" t="s">
        <v>51</v>
      </c>
      <c r="D200" s="1">
        <v>45445</v>
      </c>
      <c r="E200" t="s">
        <v>23</v>
      </c>
      <c r="F200" t="s">
        <v>24</v>
      </c>
      <c r="G200">
        <v>48</v>
      </c>
      <c r="N200" s="2" t="s">
        <v>25</v>
      </c>
      <c r="P200" t="s">
        <v>26</v>
      </c>
      <c r="Q200" t="s">
        <v>32</v>
      </c>
      <c r="R200" t="s">
        <v>28</v>
      </c>
      <c r="S200" t="s">
        <v>29</v>
      </c>
      <c r="T200">
        <v>5</v>
      </c>
    </row>
    <row r="201" spans="1:20" x14ac:dyDescent="0.45">
      <c r="A201" t="s">
        <v>21</v>
      </c>
      <c r="B201">
        <v>2024</v>
      </c>
      <c r="C201" t="s">
        <v>51</v>
      </c>
      <c r="D201" s="1">
        <v>45445</v>
      </c>
      <c r="E201" t="s">
        <v>23</v>
      </c>
      <c r="F201" t="s">
        <v>24</v>
      </c>
      <c r="G201">
        <v>48</v>
      </c>
      <c r="N201" s="2" t="s">
        <v>25</v>
      </c>
      <c r="P201" t="s">
        <v>26</v>
      </c>
      <c r="Q201" t="s">
        <v>33</v>
      </c>
      <c r="R201" t="s">
        <v>28</v>
      </c>
      <c r="S201" t="s">
        <v>29</v>
      </c>
      <c r="T201">
        <v>5</v>
      </c>
    </row>
    <row r="202" spans="1:20" x14ac:dyDescent="0.45">
      <c r="A202" t="s">
        <v>21</v>
      </c>
      <c r="B202">
        <v>2024</v>
      </c>
      <c r="C202" t="s">
        <v>22</v>
      </c>
      <c r="D202" s="1">
        <v>45452</v>
      </c>
      <c r="E202" t="s">
        <v>23</v>
      </c>
      <c r="F202" t="s">
        <v>24</v>
      </c>
      <c r="G202">
        <v>48</v>
      </c>
      <c r="N202" s="2" t="s">
        <v>25</v>
      </c>
      <c r="P202" t="s">
        <v>26</v>
      </c>
      <c r="Q202" t="s">
        <v>27</v>
      </c>
      <c r="R202" t="s">
        <v>28</v>
      </c>
      <c r="S202" t="s">
        <v>29</v>
      </c>
      <c r="T202">
        <v>6</v>
      </c>
    </row>
    <row r="203" spans="1:20" x14ac:dyDescent="0.45">
      <c r="A203" t="s">
        <v>21</v>
      </c>
      <c r="B203">
        <v>2024</v>
      </c>
      <c r="C203" t="s">
        <v>22</v>
      </c>
      <c r="D203" s="1">
        <v>45452</v>
      </c>
      <c r="E203" t="s">
        <v>23</v>
      </c>
      <c r="F203" t="s">
        <v>24</v>
      </c>
      <c r="G203">
        <v>48</v>
      </c>
      <c r="N203" s="2" t="s">
        <v>25</v>
      </c>
      <c r="P203" t="s">
        <v>26</v>
      </c>
      <c r="Q203" t="s">
        <v>30</v>
      </c>
      <c r="R203" t="s">
        <v>28</v>
      </c>
      <c r="S203" t="s">
        <v>29</v>
      </c>
      <c r="T203">
        <v>45</v>
      </c>
    </row>
    <row r="204" spans="1:20" x14ac:dyDescent="0.45">
      <c r="A204" t="s">
        <v>21</v>
      </c>
      <c r="B204">
        <v>2024</v>
      </c>
      <c r="C204" t="s">
        <v>22</v>
      </c>
      <c r="D204" s="1">
        <v>45452</v>
      </c>
      <c r="E204" t="s">
        <v>23</v>
      </c>
      <c r="F204" t="s">
        <v>24</v>
      </c>
      <c r="G204">
        <v>48</v>
      </c>
      <c r="N204" s="2" t="s">
        <v>25</v>
      </c>
      <c r="P204" t="s">
        <v>26</v>
      </c>
      <c r="Q204" t="s">
        <v>31</v>
      </c>
      <c r="R204" t="s">
        <v>28</v>
      </c>
      <c r="S204" t="s">
        <v>29</v>
      </c>
      <c r="T204">
        <v>38</v>
      </c>
    </row>
    <row r="205" spans="1:20" x14ac:dyDescent="0.45">
      <c r="A205" t="s">
        <v>21</v>
      </c>
      <c r="B205">
        <v>2024</v>
      </c>
      <c r="C205" t="s">
        <v>22</v>
      </c>
      <c r="D205" s="1">
        <v>45452</v>
      </c>
      <c r="E205" t="s">
        <v>23</v>
      </c>
      <c r="F205" t="s">
        <v>24</v>
      </c>
      <c r="G205">
        <v>48</v>
      </c>
      <c r="N205" s="2" t="s">
        <v>25</v>
      </c>
      <c r="P205" t="s">
        <v>26</v>
      </c>
      <c r="Q205" t="s">
        <v>32</v>
      </c>
      <c r="R205" t="s">
        <v>28</v>
      </c>
      <c r="S205" t="s">
        <v>29</v>
      </c>
      <c r="T205">
        <v>8</v>
      </c>
    </row>
    <row r="206" spans="1:20" x14ac:dyDescent="0.45">
      <c r="A206" t="s">
        <v>21</v>
      </c>
      <c r="B206">
        <v>2024</v>
      </c>
      <c r="C206" t="s">
        <v>22</v>
      </c>
      <c r="D206" s="1">
        <v>45452</v>
      </c>
      <c r="E206" t="s">
        <v>23</v>
      </c>
      <c r="F206" t="s">
        <v>24</v>
      </c>
      <c r="G206">
        <v>48</v>
      </c>
      <c r="N206" s="2" t="s">
        <v>25</v>
      </c>
      <c r="P206" t="s">
        <v>26</v>
      </c>
      <c r="Q206" t="s">
        <v>33</v>
      </c>
      <c r="R206" t="s">
        <v>28</v>
      </c>
      <c r="S206" t="s">
        <v>29</v>
      </c>
      <c r="T206">
        <v>3</v>
      </c>
    </row>
    <row r="207" spans="1:20" x14ac:dyDescent="0.45">
      <c r="A207" t="s">
        <v>21</v>
      </c>
      <c r="B207">
        <v>2024</v>
      </c>
      <c r="C207" t="s">
        <v>34</v>
      </c>
      <c r="D207" s="1">
        <v>45459</v>
      </c>
      <c r="E207" t="s">
        <v>23</v>
      </c>
      <c r="F207" t="s">
        <v>24</v>
      </c>
      <c r="G207">
        <v>48</v>
      </c>
      <c r="N207" s="2" t="s">
        <v>25</v>
      </c>
      <c r="P207" t="s">
        <v>26</v>
      </c>
      <c r="Q207" t="s">
        <v>27</v>
      </c>
      <c r="R207" t="s">
        <v>28</v>
      </c>
      <c r="S207" t="s">
        <v>29</v>
      </c>
      <c r="T207">
        <v>6</v>
      </c>
    </row>
    <row r="208" spans="1:20" x14ac:dyDescent="0.45">
      <c r="A208" t="s">
        <v>21</v>
      </c>
      <c r="B208">
        <v>2024</v>
      </c>
      <c r="C208" t="s">
        <v>34</v>
      </c>
      <c r="D208" s="1">
        <v>45459</v>
      </c>
      <c r="E208" t="s">
        <v>23</v>
      </c>
      <c r="F208" t="s">
        <v>24</v>
      </c>
      <c r="G208">
        <v>48</v>
      </c>
      <c r="N208" s="2" t="s">
        <v>25</v>
      </c>
      <c r="P208" t="s">
        <v>26</v>
      </c>
      <c r="Q208" t="s">
        <v>30</v>
      </c>
      <c r="R208" t="s">
        <v>28</v>
      </c>
      <c r="S208" t="s">
        <v>29</v>
      </c>
      <c r="T208">
        <v>39</v>
      </c>
    </row>
    <row r="209" spans="1:20" x14ac:dyDescent="0.45">
      <c r="A209" t="s">
        <v>21</v>
      </c>
      <c r="B209">
        <v>2024</v>
      </c>
      <c r="C209" t="s">
        <v>34</v>
      </c>
      <c r="D209" s="1">
        <v>45459</v>
      </c>
      <c r="E209" t="s">
        <v>23</v>
      </c>
      <c r="F209" t="s">
        <v>24</v>
      </c>
      <c r="G209">
        <v>48</v>
      </c>
      <c r="N209" s="2" t="s">
        <v>25</v>
      </c>
      <c r="P209" t="s">
        <v>26</v>
      </c>
      <c r="Q209" t="s">
        <v>31</v>
      </c>
      <c r="R209" t="s">
        <v>28</v>
      </c>
      <c r="S209" t="s">
        <v>29</v>
      </c>
      <c r="T209">
        <v>37</v>
      </c>
    </row>
    <row r="210" spans="1:20" x14ac:dyDescent="0.45">
      <c r="A210" t="s">
        <v>21</v>
      </c>
      <c r="B210">
        <v>2024</v>
      </c>
      <c r="C210" t="s">
        <v>34</v>
      </c>
      <c r="D210" s="1">
        <v>45459</v>
      </c>
      <c r="E210" t="s">
        <v>23</v>
      </c>
      <c r="F210" t="s">
        <v>24</v>
      </c>
      <c r="G210">
        <v>48</v>
      </c>
      <c r="N210" s="2" t="s">
        <v>25</v>
      </c>
      <c r="P210" t="s">
        <v>26</v>
      </c>
      <c r="Q210" t="s">
        <v>32</v>
      </c>
      <c r="R210" t="s">
        <v>28</v>
      </c>
      <c r="S210" t="s">
        <v>29</v>
      </c>
      <c r="T210">
        <v>15</v>
      </c>
    </row>
    <row r="211" spans="1:20" x14ac:dyDescent="0.45">
      <c r="A211" t="s">
        <v>21</v>
      </c>
      <c r="B211">
        <v>2024</v>
      </c>
      <c r="C211" t="s">
        <v>34</v>
      </c>
      <c r="D211" s="1">
        <v>45459</v>
      </c>
      <c r="E211" t="s">
        <v>23</v>
      </c>
      <c r="F211" t="s">
        <v>24</v>
      </c>
      <c r="G211">
        <v>48</v>
      </c>
      <c r="N211" s="2" t="s">
        <v>25</v>
      </c>
      <c r="P211" t="s">
        <v>26</v>
      </c>
      <c r="Q211" t="s">
        <v>33</v>
      </c>
      <c r="R211" t="s">
        <v>28</v>
      </c>
      <c r="S211" t="s">
        <v>29</v>
      </c>
      <c r="T211">
        <v>3</v>
      </c>
    </row>
    <row r="212" spans="1:20" x14ac:dyDescent="0.45">
      <c r="A212" t="s">
        <v>21</v>
      </c>
      <c r="B212">
        <v>2024</v>
      </c>
      <c r="C212" t="s">
        <v>35</v>
      </c>
      <c r="D212" s="1">
        <v>45466</v>
      </c>
      <c r="E212" t="s">
        <v>23</v>
      </c>
      <c r="F212" t="s">
        <v>24</v>
      </c>
      <c r="G212">
        <v>48</v>
      </c>
      <c r="N212" s="2" t="s">
        <v>25</v>
      </c>
      <c r="P212" t="s">
        <v>26</v>
      </c>
      <c r="Q212" t="s">
        <v>27</v>
      </c>
      <c r="R212" t="s">
        <v>28</v>
      </c>
      <c r="S212" t="s">
        <v>29</v>
      </c>
      <c r="T212">
        <v>2</v>
      </c>
    </row>
    <row r="213" spans="1:20" x14ac:dyDescent="0.45">
      <c r="A213" t="s">
        <v>21</v>
      </c>
      <c r="B213">
        <v>2024</v>
      </c>
      <c r="C213" t="s">
        <v>35</v>
      </c>
      <c r="D213" s="1">
        <v>45466</v>
      </c>
      <c r="E213" t="s">
        <v>23</v>
      </c>
      <c r="F213" t="s">
        <v>24</v>
      </c>
      <c r="G213">
        <v>48</v>
      </c>
      <c r="N213" s="2" t="s">
        <v>25</v>
      </c>
      <c r="P213" t="s">
        <v>26</v>
      </c>
      <c r="Q213" t="s">
        <v>30</v>
      </c>
      <c r="R213" t="s">
        <v>28</v>
      </c>
      <c r="S213" t="s">
        <v>29</v>
      </c>
      <c r="T213">
        <v>32</v>
      </c>
    </row>
    <row r="214" spans="1:20" x14ac:dyDescent="0.45">
      <c r="A214" t="s">
        <v>21</v>
      </c>
      <c r="B214">
        <v>2024</v>
      </c>
      <c r="C214" t="s">
        <v>35</v>
      </c>
      <c r="D214" s="1">
        <v>45466</v>
      </c>
      <c r="E214" t="s">
        <v>23</v>
      </c>
      <c r="F214" t="s">
        <v>24</v>
      </c>
      <c r="G214">
        <v>48</v>
      </c>
      <c r="N214" s="2" t="s">
        <v>25</v>
      </c>
      <c r="P214" t="s">
        <v>26</v>
      </c>
      <c r="Q214" t="s">
        <v>31</v>
      </c>
      <c r="R214" t="s">
        <v>28</v>
      </c>
      <c r="S214" t="s">
        <v>29</v>
      </c>
      <c r="T214">
        <v>47</v>
      </c>
    </row>
    <row r="215" spans="1:20" x14ac:dyDescent="0.45">
      <c r="A215" t="s">
        <v>21</v>
      </c>
      <c r="B215">
        <v>2024</v>
      </c>
      <c r="C215" t="s">
        <v>35</v>
      </c>
      <c r="D215" s="1">
        <v>45466</v>
      </c>
      <c r="E215" t="s">
        <v>23</v>
      </c>
      <c r="F215" t="s">
        <v>24</v>
      </c>
      <c r="G215">
        <v>48</v>
      </c>
      <c r="N215" s="2" t="s">
        <v>25</v>
      </c>
      <c r="P215" t="s">
        <v>26</v>
      </c>
      <c r="Q215" t="s">
        <v>32</v>
      </c>
      <c r="R215" t="s">
        <v>28</v>
      </c>
      <c r="S215" t="s">
        <v>29</v>
      </c>
      <c r="T215">
        <v>11</v>
      </c>
    </row>
    <row r="216" spans="1:20" x14ac:dyDescent="0.45">
      <c r="A216" t="s">
        <v>21</v>
      </c>
      <c r="B216">
        <v>2024</v>
      </c>
      <c r="C216" t="s">
        <v>35</v>
      </c>
      <c r="D216" s="1">
        <v>45466</v>
      </c>
      <c r="E216" t="s">
        <v>23</v>
      </c>
      <c r="F216" t="s">
        <v>24</v>
      </c>
      <c r="G216">
        <v>48</v>
      </c>
      <c r="N216" s="2" t="s">
        <v>25</v>
      </c>
      <c r="P216" t="s">
        <v>26</v>
      </c>
      <c r="Q216" t="s">
        <v>33</v>
      </c>
      <c r="R216" t="s">
        <v>28</v>
      </c>
      <c r="S216" t="s">
        <v>29</v>
      </c>
      <c r="T216">
        <v>8</v>
      </c>
    </row>
    <row r="217" spans="1:20" x14ac:dyDescent="0.45">
      <c r="A217" t="s">
        <v>21</v>
      </c>
      <c r="B217">
        <v>2024</v>
      </c>
      <c r="C217" t="s">
        <v>36</v>
      </c>
      <c r="D217" s="1">
        <v>45473</v>
      </c>
      <c r="E217" t="s">
        <v>23</v>
      </c>
      <c r="F217" t="s">
        <v>24</v>
      </c>
      <c r="G217">
        <v>48</v>
      </c>
      <c r="N217" s="2" t="s">
        <v>25</v>
      </c>
      <c r="P217" t="s">
        <v>26</v>
      </c>
      <c r="Q217" t="s">
        <v>27</v>
      </c>
      <c r="R217" t="s">
        <v>28</v>
      </c>
      <c r="S217" t="s">
        <v>29</v>
      </c>
      <c r="T217">
        <v>5</v>
      </c>
    </row>
    <row r="218" spans="1:20" x14ac:dyDescent="0.45">
      <c r="A218" t="s">
        <v>21</v>
      </c>
      <c r="B218">
        <v>2024</v>
      </c>
      <c r="C218" t="s">
        <v>36</v>
      </c>
      <c r="D218" s="1">
        <v>45473</v>
      </c>
      <c r="E218" t="s">
        <v>23</v>
      </c>
      <c r="F218" t="s">
        <v>24</v>
      </c>
      <c r="G218">
        <v>48</v>
      </c>
      <c r="N218" s="2" t="s">
        <v>25</v>
      </c>
      <c r="P218" t="s">
        <v>26</v>
      </c>
      <c r="Q218" t="s">
        <v>30</v>
      </c>
      <c r="R218" t="s">
        <v>28</v>
      </c>
      <c r="S218" t="s">
        <v>29</v>
      </c>
      <c r="T218">
        <v>34</v>
      </c>
    </row>
    <row r="219" spans="1:20" x14ac:dyDescent="0.45">
      <c r="A219" t="s">
        <v>21</v>
      </c>
      <c r="B219">
        <v>2024</v>
      </c>
      <c r="C219" t="s">
        <v>36</v>
      </c>
      <c r="D219" s="1">
        <v>45473</v>
      </c>
      <c r="E219" t="s">
        <v>23</v>
      </c>
      <c r="F219" t="s">
        <v>24</v>
      </c>
      <c r="G219">
        <v>48</v>
      </c>
      <c r="N219" s="2" t="s">
        <v>25</v>
      </c>
      <c r="P219" t="s">
        <v>26</v>
      </c>
      <c r="Q219" t="s">
        <v>31</v>
      </c>
      <c r="R219" t="s">
        <v>28</v>
      </c>
      <c r="S219" t="s">
        <v>29</v>
      </c>
      <c r="T219">
        <v>39</v>
      </c>
    </row>
    <row r="220" spans="1:20" x14ac:dyDescent="0.45">
      <c r="A220" t="s">
        <v>21</v>
      </c>
      <c r="B220">
        <v>2024</v>
      </c>
      <c r="C220" t="s">
        <v>36</v>
      </c>
      <c r="D220" s="1">
        <v>45473</v>
      </c>
      <c r="E220" t="s">
        <v>23</v>
      </c>
      <c r="F220" t="s">
        <v>24</v>
      </c>
      <c r="G220">
        <v>48</v>
      </c>
      <c r="N220" s="2" t="s">
        <v>25</v>
      </c>
      <c r="P220" t="s">
        <v>26</v>
      </c>
      <c r="Q220" t="s">
        <v>32</v>
      </c>
      <c r="R220" t="s">
        <v>28</v>
      </c>
      <c r="S220" t="s">
        <v>29</v>
      </c>
      <c r="T220">
        <v>10</v>
      </c>
    </row>
    <row r="221" spans="1:20" x14ac:dyDescent="0.45">
      <c r="A221" t="s">
        <v>21</v>
      </c>
      <c r="B221">
        <v>2024</v>
      </c>
      <c r="C221" t="s">
        <v>36</v>
      </c>
      <c r="D221" s="1">
        <v>45473</v>
      </c>
      <c r="E221" t="s">
        <v>23</v>
      </c>
      <c r="F221" t="s">
        <v>24</v>
      </c>
      <c r="G221">
        <v>48</v>
      </c>
      <c r="N221" s="2" t="s">
        <v>25</v>
      </c>
      <c r="P221" t="s">
        <v>26</v>
      </c>
      <c r="Q221" t="s">
        <v>33</v>
      </c>
      <c r="R221" t="s">
        <v>28</v>
      </c>
      <c r="S221" t="s">
        <v>29</v>
      </c>
      <c r="T221">
        <v>12</v>
      </c>
    </row>
    <row r="222" spans="1:20" x14ac:dyDescent="0.45">
      <c r="A222" t="s">
        <v>21</v>
      </c>
      <c r="B222">
        <v>2024</v>
      </c>
      <c r="C222" t="s">
        <v>37</v>
      </c>
      <c r="D222" s="1">
        <v>45480</v>
      </c>
      <c r="E222" t="s">
        <v>23</v>
      </c>
      <c r="F222" t="s">
        <v>24</v>
      </c>
      <c r="G222">
        <v>48</v>
      </c>
      <c r="N222" s="2" t="s">
        <v>25</v>
      </c>
      <c r="P222" t="s">
        <v>26</v>
      </c>
      <c r="Q222" t="s">
        <v>27</v>
      </c>
      <c r="R222" t="s">
        <v>28</v>
      </c>
      <c r="S222" t="s">
        <v>29</v>
      </c>
      <c r="T222">
        <v>8</v>
      </c>
    </row>
    <row r="223" spans="1:20" x14ac:dyDescent="0.45">
      <c r="A223" t="s">
        <v>21</v>
      </c>
      <c r="B223">
        <v>2024</v>
      </c>
      <c r="C223" t="s">
        <v>37</v>
      </c>
      <c r="D223" s="1">
        <v>45480</v>
      </c>
      <c r="E223" t="s">
        <v>23</v>
      </c>
      <c r="F223" t="s">
        <v>24</v>
      </c>
      <c r="G223">
        <v>48</v>
      </c>
      <c r="N223" s="2" t="s">
        <v>25</v>
      </c>
      <c r="P223" t="s">
        <v>26</v>
      </c>
      <c r="Q223" t="s">
        <v>30</v>
      </c>
      <c r="R223" t="s">
        <v>28</v>
      </c>
      <c r="S223" t="s">
        <v>29</v>
      </c>
      <c r="T223">
        <v>33</v>
      </c>
    </row>
    <row r="224" spans="1:20" x14ac:dyDescent="0.45">
      <c r="A224" t="s">
        <v>21</v>
      </c>
      <c r="B224">
        <v>2024</v>
      </c>
      <c r="C224" t="s">
        <v>37</v>
      </c>
      <c r="D224" s="1">
        <v>45480</v>
      </c>
      <c r="E224" t="s">
        <v>23</v>
      </c>
      <c r="F224" t="s">
        <v>24</v>
      </c>
      <c r="G224">
        <v>48</v>
      </c>
      <c r="N224" s="2" t="s">
        <v>25</v>
      </c>
      <c r="P224" t="s">
        <v>26</v>
      </c>
      <c r="Q224" t="s">
        <v>31</v>
      </c>
      <c r="R224" t="s">
        <v>28</v>
      </c>
      <c r="S224" t="s">
        <v>29</v>
      </c>
      <c r="T224">
        <v>27</v>
      </c>
    </row>
    <row r="225" spans="1:20" x14ac:dyDescent="0.45">
      <c r="A225" t="s">
        <v>21</v>
      </c>
      <c r="B225">
        <v>2024</v>
      </c>
      <c r="C225" t="s">
        <v>37</v>
      </c>
      <c r="D225" s="1">
        <v>45480</v>
      </c>
      <c r="E225" t="s">
        <v>23</v>
      </c>
      <c r="F225" t="s">
        <v>24</v>
      </c>
      <c r="G225">
        <v>48</v>
      </c>
      <c r="N225" s="2" t="s">
        <v>25</v>
      </c>
      <c r="P225" t="s">
        <v>26</v>
      </c>
      <c r="Q225" t="s">
        <v>32</v>
      </c>
      <c r="R225" t="s">
        <v>28</v>
      </c>
      <c r="S225" t="s">
        <v>29</v>
      </c>
      <c r="T225">
        <v>17</v>
      </c>
    </row>
    <row r="226" spans="1:20" x14ac:dyDescent="0.45">
      <c r="A226" t="s">
        <v>21</v>
      </c>
      <c r="B226">
        <v>2024</v>
      </c>
      <c r="C226" t="s">
        <v>37</v>
      </c>
      <c r="D226" s="1">
        <v>45480</v>
      </c>
      <c r="E226" t="s">
        <v>23</v>
      </c>
      <c r="F226" t="s">
        <v>24</v>
      </c>
      <c r="G226">
        <v>48</v>
      </c>
      <c r="N226" s="2" t="s">
        <v>25</v>
      </c>
      <c r="P226" t="s">
        <v>26</v>
      </c>
      <c r="Q226" t="s">
        <v>33</v>
      </c>
      <c r="R226" t="s">
        <v>28</v>
      </c>
      <c r="S226" t="s">
        <v>29</v>
      </c>
      <c r="T226">
        <v>15</v>
      </c>
    </row>
    <row r="227" spans="1:20" x14ac:dyDescent="0.45">
      <c r="A227" t="s">
        <v>21</v>
      </c>
      <c r="B227">
        <v>2024</v>
      </c>
      <c r="C227" t="s">
        <v>38</v>
      </c>
      <c r="D227" s="1">
        <v>45487</v>
      </c>
      <c r="E227" t="s">
        <v>23</v>
      </c>
      <c r="F227" t="s">
        <v>24</v>
      </c>
      <c r="G227">
        <v>48</v>
      </c>
      <c r="N227" s="2" t="s">
        <v>25</v>
      </c>
      <c r="P227" t="s">
        <v>26</v>
      </c>
      <c r="Q227" t="s">
        <v>27</v>
      </c>
      <c r="R227" t="s">
        <v>28</v>
      </c>
      <c r="S227" t="s">
        <v>29</v>
      </c>
      <c r="T227">
        <v>7</v>
      </c>
    </row>
    <row r="228" spans="1:20" x14ac:dyDescent="0.45">
      <c r="A228" t="s">
        <v>21</v>
      </c>
      <c r="B228">
        <v>2024</v>
      </c>
      <c r="C228" t="s">
        <v>38</v>
      </c>
      <c r="D228" s="1">
        <v>45487</v>
      </c>
      <c r="E228" t="s">
        <v>23</v>
      </c>
      <c r="F228" t="s">
        <v>24</v>
      </c>
      <c r="G228">
        <v>48</v>
      </c>
      <c r="N228" s="2" t="s">
        <v>25</v>
      </c>
      <c r="P228" t="s">
        <v>26</v>
      </c>
      <c r="Q228" t="s">
        <v>30</v>
      </c>
      <c r="R228" t="s">
        <v>28</v>
      </c>
      <c r="S228" t="s">
        <v>29</v>
      </c>
      <c r="T228">
        <v>34</v>
      </c>
    </row>
    <row r="229" spans="1:20" x14ac:dyDescent="0.45">
      <c r="A229" t="s">
        <v>21</v>
      </c>
      <c r="B229">
        <v>2024</v>
      </c>
      <c r="C229" t="s">
        <v>38</v>
      </c>
      <c r="D229" s="1">
        <v>45487</v>
      </c>
      <c r="E229" t="s">
        <v>23</v>
      </c>
      <c r="F229" t="s">
        <v>24</v>
      </c>
      <c r="G229">
        <v>48</v>
      </c>
      <c r="N229" s="2" t="s">
        <v>25</v>
      </c>
      <c r="P229" t="s">
        <v>26</v>
      </c>
      <c r="Q229" t="s">
        <v>31</v>
      </c>
      <c r="R229" t="s">
        <v>28</v>
      </c>
      <c r="S229" t="s">
        <v>29</v>
      </c>
      <c r="T229">
        <v>27</v>
      </c>
    </row>
    <row r="230" spans="1:20" x14ac:dyDescent="0.45">
      <c r="A230" t="s">
        <v>21</v>
      </c>
      <c r="B230">
        <v>2024</v>
      </c>
      <c r="C230" t="s">
        <v>38</v>
      </c>
      <c r="D230" s="1">
        <v>45487</v>
      </c>
      <c r="E230" t="s">
        <v>23</v>
      </c>
      <c r="F230" t="s">
        <v>24</v>
      </c>
      <c r="G230">
        <v>48</v>
      </c>
      <c r="N230" s="2" t="s">
        <v>25</v>
      </c>
      <c r="P230" t="s">
        <v>26</v>
      </c>
      <c r="Q230" t="s">
        <v>32</v>
      </c>
      <c r="R230" t="s">
        <v>28</v>
      </c>
      <c r="S230" t="s">
        <v>29</v>
      </c>
      <c r="T230">
        <v>15</v>
      </c>
    </row>
    <row r="231" spans="1:20" x14ac:dyDescent="0.45">
      <c r="A231" t="s">
        <v>21</v>
      </c>
      <c r="B231">
        <v>2024</v>
      </c>
      <c r="C231" t="s">
        <v>38</v>
      </c>
      <c r="D231" s="1">
        <v>45487</v>
      </c>
      <c r="E231" t="s">
        <v>23</v>
      </c>
      <c r="F231" t="s">
        <v>24</v>
      </c>
      <c r="G231">
        <v>48</v>
      </c>
      <c r="N231" s="2" t="s">
        <v>25</v>
      </c>
      <c r="P231" t="s">
        <v>26</v>
      </c>
      <c r="Q231" t="s">
        <v>33</v>
      </c>
      <c r="R231" t="s">
        <v>28</v>
      </c>
      <c r="S231" t="s">
        <v>29</v>
      </c>
      <c r="T231">
        <v>17</v>
      </c>
    </row>
    <row r="232" spans="1:20" x14ac:dyDescent="0.45">
      <c r="A232" t="s">
        <v>21</v>
      </c>
      <c r="B232">
        <v>2024</v>
      </c>
      <c r="C232" t="s">
        <v>39</v>
      </c>
      <c r="D232" s="1">
        <v>45494</v>
      </c>
      <c r="E232" t="s">
        <v>23</v>
      </c>
      <c r="F232" t="s">
        <v>24</v>
      </c>
      <c r="G232">
        <v>48</v>
      </c>
      <c r="N232" s="2" t="s">
        <v>25</v>
      </c>
      <c r="P232" t="s">
        <v>26</v>
      </c>
      <c r="Q232" t="s">
        <v>27</v>
      </c>
      <c r="R232" t="s">
        <v>28</v>
      </c>
      <c r="S232" t="s">
        <v>29</v>
      </c>
      <c r="T232">
        <v>13</v>
      </c>
    </row>
    <row r="233" spans="1:20" x14ac:dyDescent="0.45">
      <c r="A233" t="s">
        <v>21</v>
      </c>
      <c r="B233">
        <v>2024</v>
      </c>
      <c r="C233" t="s">
        <v>39</v>
      </c>
      <c r="D233" s="1">
        <v>45494</v>
      </c>
      <c r="E233" t="s">
        <v>23</v>
      </c>
      <c r="F233" t="s">
        <v>24</v>
      </c>
      <c r="G233">
        <v>48</v>
      </c>
      <c r="N233" s="2" t="s">
        <v>25</v>
      </c>
      <c r="P233" t="s">
        <v>26</v>
      </c>
      <c r="Q233" t="s">
        <v>30</v>
      </c>
      <c r="R233" t="s">
        <v>28</v>
      </c>
      <c r="S233" t="s">
        <v>29</v>
      </c>
      <c r="T233">
        <v>29</v>
      </c>
    </row>
    <row r="234" spans="1:20" x14ac:dyDescent="0.45">
      <c r="A234" t="s">
        <v>21</v>
      </c>
      <c r="B234">
        <v>2024</v>
      </c>
      <c r="C234" t="s">
        <v>39</v>
      </c>
      <c r="D234" s="1">
        <v>45494</v>
      </c>
      <c r="E234" t="s">
        <v>23</v>
      </c>
      <c r="F234" t="s">
        <v>24</v>
      </c>
      <c r="G234">
        <v>48</v>
      </c>
      <c r="N234" s="2" t="s">
        <v>25</v>
      </c>
      <c r="P234" t="s">
        <v>26</v>
      </c>
      <c r="Q234" t="s">
        <v>31</v>
      </c>
      <c r="R234" t="s">
        <v>28</v>
      </c>
      <c r="S234" t="s">
        <v>29</v>
      </c>
      <c r="T234">
        <v>33</v>
      </c>
    </row>
    <row r="235" spans="1:20" x14ac:dyDescent="0.45">
      <c r="A235" t="s">
        <v>21</v>
      </c>
      <c r="B235">
        <v>2024</v>
      </c>
      <c r="C235" t="s">
        <v>39</v>
      </c>
      <c r="D235" s="1">
        <v>45494</v>
      </c>
      <c r="E235" t="s">
        <v>23</v>
      </c>
      <c r="F235" t="s">
        <v>24</v>
      </c>
      <c r="G235">
        <v>48</v>
      </c>
      <c r="N235" s="2" t="s">
        <v>25</v>
      </c>
      <c r="P235" t="s">
        <v>26</v>
      </c>
      <c r="Q235" t="s">
        <v>32</v>
      </c>
      <c r="R235" t="s">
        <v>28</v>
      </c>
      <c r="S235" t="s">
        <v>29</v>
      </c>
      <c r="T235">
        <v>14</v>
      </c>
    </row>
    <row r="236" spans="1:20" x14ac:dyDescent="0.45">
      <c r="A236" t="s">
        <v>21</v>
      </c>
      <c r="B236">
        <v>2024</v>
      </c>
      <c r="C236" t="s">
        <v>39</v>
      </c>
      <c r="D236" s="1">
        <v>45494</v>
      </c>
      <c r="E236" t="s">
        <v>23</v>
      </c>
      <c r="F236" t="s">
        <v>24</v>
      </c>
      <c r="G236">
        <v>48</v>
      </c>
      <c r="N236" s="2" t="s">
        <v>25</v>
      </c>
      <c r="P236" t="s">
        <v>26</v>
      </c>
      <c r="Q236" t="s">
        <v>33</v>
      </c>
      <c r="R236" t="s">
        <v>28</v>
      </c>
      <c r="S236" t="s">
        <v>29</v>
      </c>
      <c r="T236">
        <v>11</v>
      </c>
    </row>
    <row r="237" spans="1:20" x14ac:dyDescent="0.45">
      <c r="A237" t="s">
        <v>21</v>
      </c>
      <c r="B237">
        <v>2024</v>
      </c>
      <c r="C237" t="s">
        <v>40</v>
      </c>
      <c r="D237" s="1">
        <v>45501</v>
      </c>
      <c r="E237" t="s">
        <v>23</v>
      </c>
      <c r="F237" t="s">
        <v>24</v>
      </c>
      <c r="G237">
        <v>48</v>
      </c>
      <c r="N237" s="2" t="s">
        <v>25</v>
      </c>
      <c r="P237" t="s">
        <v>26</v>
      </c>
      <c r="Q237" t="s">
        <v>27</v>
      </c>
      <c r="R237" t="s">
        <v>28</v>
      </c>
      <c r="S237" t="s">
        <v>29</v>
      </c>
      <c r="T237">
        <v>8</v>
      </c>
    </row>
    <row r="238" spans="1:20" x14ac:dyDescent="0.45">
      <c r="A238" t="s">
        <v>21</v>
      </c>
      <c r="B238">
        <v>2024</v>
      </c>
      <c r="C238" t="s">
        <v>40</v>
      </c>
      <c r="D238" s="1">
        <v>45501</v>
      </c>
      <c r="E238" t="s">
        <v>23</v>
      </c>
      <c r="F238" t="s">
        <v>24</v>
      </c>
      <c r="G238">
        <v>48</v>
      </c>
      <c r="N238" s="2" t="s">
        <v>25</v>
      </c>
      <c r="P238" t="s">
        <v>26</v>
      </c>
      <c r="Q238" t="s">
        <v>30</v>
      </c>
      <c r="R238" t="s">
        <v>28</v>
      </c>
      <c r="S238" t="s">
        <v>29</v>
      </c>
      <c r="T238">
        <v>29</v>
      </c>
    </row>
    <row r="239" spans="1:20" x14ac:dyDescent="0.45">
      <c r="A239" t="s">
        <v>21</v>
      </c>
      <c r="B239">
        <v>2024</v>
      </c>
      <c r="C239" t="s">
        <v>40</v>
      </c>
      <c r="D239" s="1">
        <v>45501</v>
      </c>
      <c r="E239" t="s">
        <v>23</v>
      </c>
      <c r="F239" t="s">
        <v>24</v>
      </c>
      <c r="G239">
        <v>48</v>
      </c>
      <c r="N239" s="2" t="s">
        <v>25</v>
      </c>
      <c r="P239" t="s">
        <v>26</v>
      </c>
      <c r="Q239" t="s">
        <v>31</v>
      </c>
      <c r="R239" t="s">
        <v>28</v>
      </c>
      <c r="S239" t="s">
        <v>29</v>
      </c>
      <c r="T239">
        <v>32</v>
      </c>
    </row>
    <row r="240" spans="1:20" x14ac:dyDescent="0.45">
      <c r="A240" t="s">
        <v>21</v>
      </c>
      <c r="B240">
        <v>2024</v>
      </c>
      <c r="C240" t="s">
        <v>40</v>
      </c>
      <c r="D240" s="1">
        <v>45501</v>
      </c>
      <c r="E240" t="s">
        <v>23</v>
      </c>
      <c r="F240" t="s">
        <v>24</v>
      </c>
      <c r="G240">
        <v>48</v>
      </c>
      <c r="N240" s="2" t="s">
        <v>25</v>
      </c>
      <c r="P240" t="s">
        <v>26</v>
      </c>
      <c r="Q240" t="s">
        <v>32</v>
      </c>
      <c r="R240" t="s">
        <v>28</v>
      </c>
      <c r="S240" t="s">
        <v>29</v>
      </c>
      <c r="T240">
        <v>17</v>
      </c>
    </row>
    <row r="241" spans="1:20" x14ac:dyDescent="0.45">
      <c r="A241" t="s">
        <v>21</v>
      </c>
      <c r="B241">
        <v>2024</v>
      </c>
      <c r="C241" t="s">
        <v>40</v>
      </c>
      <c r="D241" s="1">
        <v>45501</v>
      </c>
      <c r="E241" t="s">
        <v>23</v>
      </c>
      <c r="F241" t="s">
        <v>24</v>
      </c>
      <c r="G241">
        <v>48</v>
      </c>
      <c r="N241" s="2" t="s">
        <v>25</v>
      </c>
      <c r="P241" t="s">
        <v>26</v>
      </c>
      <c r="Q241" t="s">
        <v>33</v>
      </c>
      <c r="R241" t="s">
        <v>28</v>
      </c>
      <c r="S241" t="s">
        <v>29</v>
      </c>
      <c r="T241">
        <v>14</v>
      </c>
    </row>
    <row r="242" spans="1:20" x14ac:dyDescent="0.45">
      <c r="A242" t="s">
        <v>21</v>
      </c>
      <c r="B242">
        <v>2024</v>
      </c>
      <c r="C242" t="s">
        <v>41</v>
      </c>
      <c r="D242" s="1">
        <v>45508</v>
      </c>
      <c r="E242" t="s">
        <v>23</v>
      </c>
      <c r="F242" t="s">
        <v>24</v>
      </c>
      <c r="G242">
        <v>48</v>
      </c>
      <c r="N242" s="2" t="s">
        <v>25</v>
      </c>
      <c r="P242" t="s">
        <v>26</v>
      </c>
      <c r="Q242" t="s">
        <v>27</v>
      </c>
      <c r="R242" t="s">
        <v>28</v>
      </c>
      <c r="S242" t="s">
        <v>29</v>
      </c>
      <c r="T242">
        <v>6</v>
      </c>
    </row>
    <row r="243" spans="1:20" x14ac:dyDescent="0.45">
      <c r="A243" t="s">
        <v>21</v>
      </c>
      <c r="B243">
        <v>2024</v>
      </c>
      <c r="C243" t="s">
        <v>41</v>
      </c>
      <c r="D243" s="1">
        <v>45508</v>
      </c>
      <c r="E243" t="s">
        <v>23</v>
      </c>
      <c r="F243" t="s">
        <v>24</v>
      </c>
      <c r="G243">
        <v>48</v>
      </c>
      <c r="N243" s="2" t="s">
        <v>25</v>
      </c>
      <c r="P243" t="s">
        <v>26</v>
      </c>
      <c r="Q243" t="s">
        <v>30</v>
      </c>
      <c r="R243" t="s">
        <v>28</v>
      </c>
      <c r="S243" t="s">
        <v>29</v>
      </c>
      <c r="T243">
        <v>28</v>
      </c>
    </row>
    <row r="244" spans="1:20" x14ac:dyDescent="0.45">
      <c r="A244" t="s">
        <v>21</v>
      </c>
      <c r="B244">
        <v>2024</v>
      </c>
      <c r="C244" t="s">
        <v>41</v>
      </c>
      <c r="D244" s="1">
        <v>45508</v>
      </c>
      <c r="E244" t="s">
        <v>23</v>
      </c>
      <c r="F244" t="s">
        <v>24</v>
      </c>
      <c r="G244">
        <v>48</v>
      </c>
      <c r="N244" s="2" t="s">
        <v>25</v>
      </c>
      <c r="P244" t="s">
        <v>26</v>
      </c>
      <c r="Q244" t="s">
        <v>31</v>
      </c>
      <c r="R244" t="s">
        <v>28</v>
      </c>
      <c r="S244" t="s">
        <v>29</v>
      </c>
      <c r="T244">
        <v>26</v>
      </c>
    </row>
    <row r="245" spans="1:20" x14ac:dyDescent="0.45">
      <c r="A245" t="s">
        <v>21</v>
      </c>
      <c r="B245">
        <v>2024</v>
      </c>
      <c r="C245" t="s">
        <v>41</v>
      </c>
      <c r="D245" s="1">
        <v>45508</v>
      </c>
      <c r="E245" t="s">
        <v>23</v>
      </c>
      <c r="F245" t="s">
        <v>24</v>
      </c>
      <c r="G245">
        <v>48</v>
      </c>
      <c r="N245" s="2" t="s">
        <v>25</v>
      </c>
      <c r="P245" t="s">
        <v>26</v>
      </c>
      <c r="Q245" t="s">
        <v>32</v>
      </c>
      <c r="R245" t="s">
        <v>28</v>
      </c>
      <c r="S245" t="s">
        <v>29</v>
      </c>
      <c r="T245">
        <v>21</v>
      </c>
    </row>
    <row r="246" spans="1:20" x14ac:dyDescent="0.45">
      <c r="A246" t="s">
        <v>21</v>
      </c>
      <c r="B246">
        <v>2024</v>
      </c>
      <c r="C246" t="s">
        <v>41</v>
      </c>
      <c r="D246" s="1">
        <v>45508</v>
      </c>
      <c r="E246" t="s">
        <v>23</v>
      </c>
      <c r="F246" t="s">
        <v>24</v>
      </c>
      <c r="G246">
        <v>48</v>
      </c>
      <c r="N246" s="2" t="s">
        <v>25</v>
      </c>
      <c r="P246" t="s">
        <v>26</v>
      </c>
      <c r="Q246" t="s">
        <v>33</v>
      </c>
      <c r="R246" t="s">
        <v>28</v>
      </c>
      <c r="S246" t="s">
        <v>29</v>
      </c>
      <c r="T246">
        <v>19</v>
      </c>
    </row>
    <row r="247" spans="1:20" x14ac:dyDescent="0.45">
      <c r="A247" t="s">
        <v>21</v>
      </c>
      <c r="B247">
        <v>2024</v>
      </c>
      <c r="C247" t="s">
        <v>42</v>
      </c>
      <c r="D247" s="1">
        <v>45515</v>
      </c>
      <c r="E247" t="s">
        <v>23</v>
      </c>
      <c r="F247" t="s">
        <v>24</v>
      </c>
      <c r="G247">
        <v>48</v>
      </c>
      <c r="N247" s="2" t="s">
        <v>25</v>
      </c>
      <c r="P247" t="s">
        <v>26</v>
      </c>
      <c r="Q247" t="s">
        <v>27</v>
      </c>
      <c r="R247" t="s">
        <v>28</v>
      </c>
      <c r="S247" t="s">
        <v>29</v>
      </c>
      <c r="T247">
        <v>7</v>
      </c>
    </row>
    <row r="248" spans="1:20" x14ac:dyDescent="0.45">
      <c r="A248" t="s">
        <v>21</v>
      </c>
      <c r="B248">
        <v>2024</v>
      </c>
      <c r="C248" t="s">
        <v>42</v>
      </c>
      <c r="D248" s="1">
        <v>45515</v>
      </c>
      <c r="E248" t="s">
        <v>23</v>
      </c>
      <c r="F248" t="s">
        <v>24</v>
      </c>
      <c r="G248">
        <v>48</v>
      </c>
      <c r="N248" s="2" t="s">
        <v>25</v>
      </c>
      <c r="P248" t="s">
        <v>26</v>
      </c>
      <c r="Q248" t="s">
        <v>30</v>
      </c>
      <c r="R248" t="s">
        <v>28</v>
      </c>
      <c r="S248" t="s">
        <v>29</v>
      </c>
      <c r="T248">
        <v>30</v>
      </c>
    </row>
    <row r="249" spans="1:20" x14ac:dyDescent="0.45">
      <c r="A249" t="s">
        <v>21</v>
      </c>
      <c r="B249">
        <v>2024</v>
      </c>
      <c r="C249" t="s">
        <v>42</v>
      </c>
      <c r="D249" s="1">
        <v>45515</v>
      </c>
      <c r="E249" t="s">
        <v>23</v>
      </c>
      <c r="F249" t="s">
        <v>24</v>
      </c>
      <c r="G249">
        <v>48</v>
      </c>
      <c r="N249" s="2" t="s">
        <v>25</v>
      </c>
      <c r="P249" t="s">
        <v>26</v>
      </c>
      <c r="Q249" t="s">
        <v>31</v>
      </c>
      <c r="R249" t="s">
        <v>28</v>
      </c>
      <c r="S249" t="s">
        <v>29</v>
      </c>
      <c r="T249">
        <v>26</v>
      </c>
    </row>
    <row r="250" spans="1:20" x14ac:dyDescent="0.45">
      <c r="A250" t="s">
        <v>21</v>
      </c>
      <c r="B250">
        <v>2024</v>
      </c>
      <c r="C250" t="s">
        <v>42</v>
      </c>
      <c r="D250" s="1">
        <v>45515</v>
      </c>
      <c r="E250" t="s">
        <v>23</v>
      </c>
      <c r="F250" t="s">
        <v>24</v>
      </c>
      <c r="G250">
        <v>48</v>
      </c>
      <c r="N250" s="2" t="s">
        <v>25</v>
      </c>
      <c r="P250" t="s">
        <v>26</v>
      </c>
      <c r="Q250" t="s">
        <v>32</v>
      </c>
      <c r="R250" t="s">
        <v>28</v>
      </c>
      <c r="S250" t="s">
        <v>29</v>
      </c>
      <c r="T250">
        <v>22</v>
      </c>
    </row>
    <row r="251" spans="1:20" x14ac:dyDescent="0.45">
      <c r="A251" t="s">
        <v>21</v>
      </c>
      <c r="B251">
        <v>2024</v>
      </c>
      <c r="C251" t="s">
        <v>42</v>
      </c>
      <c r="D251" s="1">
        <v>45515</v>
      </c>
      <c r="E251" t="s">
        <v>23</v>
      </c>
      <c r="F251" t="s">
        <v>24</v>
      </c>
      <c r="G251">
        <v>48</v>
      </c>
      <c r="N251" s="2" t="s">
        <v>25</v>
      </c>
      <c r="P251" t="s">
        <v>26</v>
      </c>
      <c r="Q251" t="s">
        <v>33</v>
      </c>
      <c r="R251" t="s">
        <v>28</v>
      </c>
      <c r="S251" t="s">
        <v>29</v>
      </c>
      <c r="T251">
        <v>15</v>
      </c>
    </row>
    <row r="252" spans="1:20" x14ac:dyDescent="0.45">
      <c r="A252" t="s">
        <v>21</v>
      </c>
      <c r="B252">
        <v>2024</v>
      </c>
      <c r="C252" t="s">
        <v>43</v>
      </c>
      <c r="D252" s="1">
        <v>45522</v>
      </c>
      <c r="E252" t="s">
        <v>23</v>
      </c>
      <c r="F252" t="s">
        <v>24</v>
      </c>
      <c r="G252">
        <v>48</v>
      </c>
      <c r="N252" s="2" t="s">
        <v>25</v>
      </c>
      <c r="P252" t="s">
        <v>26</v>
      </c>
      <c r="Q252" t="s">
        <v>27</v>
      </c>
      <c r="R252" t="s">
        <v>28</v>
      </c>
      <c r="S252" t="s">
        <v>29</v>
      </c>
      <c r="T252">
        <v>6</v>
      </c>
    </row>
    <row r="253" spans="1:20" x14ac:dyDescent="0.45">
      <c r="A253" t="s">
        <v>21</v>
      </c>
      <c r="B253">
        <v>2024</v>
      </c>
      <c r="C253" t="s">
        <v>43</v>
      </c>
      <c r="D253" s="1">
        <v>45522</v>
      </c>
      <c r="E253" t="s">
        <v>23</v>
      </c>
      <c r="F253" t="s">
        <v>24</v>
      </c>
      <c r="G253">
        <v>48</v>
      </c>
      <c r="N253" s="2" t="s">
        <v>25</v>
      </c>
      <c r="P253" t="s">
        <v>26</v>
      </c>
      <c r="Q253" t="s">
        <v>30</v>
      </c>
      <c r="R253" t="s">
        <v>28</v>
      </c>
      <c r="S253" t="s">
        <v>29</v>
      </c>
      <c r="T253">
        <v>34</v>
      </c>
    </row>
    <row r="254" spans="1:20" x14ac:dyDescent="0.45">
      <c r="A254" t="s">
        <v>21</v>
      </c>
      <c r="B254">
        <v>2024</v>
      </c>
      <c r="C254" t="s">
        <v>43</v>
      </c>
      <c r="D254" s="1">
        <v>45522</v>
      </c>
      <c r="E254" t="s">
        <v>23</v>
      </c>
      <c r="F254" t="s">
        <v>24</v>
      </c>
      <c r="G254">
        <v>48</v>
      </c>
      <c r="N254" s="2" t="s">
        <v>25</v>
      </c>
      <c r="P254" t="s">
        <v>26</v>
      </c>
      <c r="Q254" t="s">
        <v>31</v>
      </c>
      <c r="R254" t="s">
        <v>28</v>
      </c>
      <c r="S254" t="s">
        <v>29</v>
      </c>
      <c r="T254">
        <v>23</v>
      </c>
    </row>
    <row r="255" spans="1:20" x14ac:dyDescent="0.45">
      <c r="A255" t="s">
        <v>21</v>
      </c>
      <c r="B255">
        <v>2024</v>
      </c>
      <c r="C255" t="s">
        <v>43</v>
      </c>
      <c r="D255" s="1">
        <v>45522</v>
      </c>
      <c r="E255" t="s">
        <v>23</v>
      </c>
      <c r="F255" t="s">
        <v>24</v>
      </c>
      <c r="G255">
        <v>48</v>
      </c>
      <c r="N255" s="2" t="s">
        <v>25</v>
      </c>
      <c r="P255" t="s">
        <v>26</v>
      </c>
      <c r="Q255" t="s">
        <v>32</v>
      </c>
      <c r="R255" t="s">
        <v>28</v>
      </c>
      <c r="S255" t="s">
        <v>29</v>
      </c>
      <c r="T255">
        <v>25</v>
      </c>
    </row>
    <row r="256" spans="1:20" x14ac:dyDescent="0.45">
      <c r="A256" t="s">
        <v>21</v>
      </c>
      <c r="B256">
        <v>2024</v>
      </c>
      <c r="C256" t="s">
        <v>43</v>
      </c>
      <c r="D256" s="1">
        <v>45522</v>
      </c>
      <c r="E256" t="s">
        <v>23</v>
      </c>
      <c r="F256" t="s">
        <v>24</v>
      </c>
      <c r="G256">
        <v>48</v>
      </c>
      <c r="N256" s="2" t="s">
        <v>25</v>
      </c>
      <c r="P256" t="s">
        <v>26</v>
      </c>
      <c r="Q256" t="s">
        <v>33</v>
      </c>
      <c r="R256" t="s">
        <v>28</v>
      </c>
      <c r="S256" t="s">
        <v>29</v>
      </c>
      <c r="T256">
        <v>12</v>
      </c>
    </row>
    <row r="257" spans="1:20" x14ac:dyDescent="0.45">
      <c r="A257" t="s">
        <v>21</v>
      </c>
      <c r="B257">
        <v>2024</v>
      </c>
      <c r="C257" t="s">
        <v>44</v>
      </c>
      <c r="D257" s="1">
        <v>45529</v>
      </c>
      <c r="E257" t="s">
        <v>23</v>
      </c>
      <c r="F257" t="s">
        <v>24</v>
      </c>
      <c r="G257">
        <v>48</v>
      </c>
      <c r="N257" s="2" t="s">
        <v>25</v>
      </c>
      <c r="P257" t="s">
        <v>26</v>
      </c>
      <c r="Q257" t="s">
        <v>27</v>
      </c>
      <c r="R257" t="s">
        <v>28</v>
      </c>
      <c r="S257" t="s">
        <v>29</v>
      </c>
      <c r="T257">
        <v>4</v>
      </c>
    </row>
    <row r="258" spans="1:20" x14ac:dyDescent="0.45">
      <c r="A258" t="s">
        <v>21</v>
      </c>
      <c r="B258">
        <v>2024</v>
      </c>
      <c r="C258" t="s">
        <v>44</v>
      </c>
      <c r="D258" s="1">
        <v>45529</v>
      </c>
      <c r="E258" t="s">
        <v>23</v>
      </c>
      <c r="F258" t="s">
        <v>24</v>
      </c>
      <c r="G258">
        <v>48</v>
      </c>
      <c r="N258" s="2" t="s">
        <v>25</v>
      </c>
      <c r="P258" t="s">
        <v>26</v>
      </c>
      <c r="Q258" t="s">
        <v>30</v>
      </c>
      <c r="R258" t="s">
        <v>28</v>
      </c>
      <c r="S258" t="s">
        <v>29</v>
      </c>
      <c r="T258">
        <v>33</v>
      </c>
    </row>
    <row r="259" spans="1:20" x14ac:dyDescent="0.45">
      <c r="A259" t="s">
        <v>21</v>
      </c>
      <c r="B259">
        <v>2024</v>
      </c>
      <c r="C259" t="s">
        <v>44</v>
      </c>
      <c r="D259" s="1">
        <v>45529</v>
      </c>
      <c r="E259" t="s">
        <v>23</v>
      </c>
      <c r="F259" t="s">
        <v>24</v>
      </c>
      <c r="G259">
        <v>48</v>
      </c>
      <c r="N259" s="2" t="s">
        <v>25</v>
      </c>
      <c r="P259" t="s">
        <v>26</v>
      </c>
      <c r="Q259" t="s">
        <v>31</v>
      </c>
      <c r="R259" t="s">
        <v>28</v>
      </c>
      <c r="S259" t="s">
        <v>29</v>
      </c>
      <c r="T259">
        <v>22</v>
      </c>
    </row>
    <row r="260" spans="1:20" x14ac:dyDescent="0.45">
      <c r="A260" t="s">
        <v>21</v>
      </c>
      <c r="B260">
        <v>2024</v>
      </c>
      <c r="C260" t="s">
        <v>44</v>
      </c>
      <c r="D260" s="1">
        <v>45529</v>
      </c>
      <c r="E260" t="s">
        <v>23</v>
      </c>
      <c r="F260" t="s">
        <v>24</v>
      </c>
      <c r="G260">
        <v>48</v>
      </c>
      <c r="N260" s="2" t="s">
        <v>25</v>
      </c>
      <c r="P260" t="s">
        <v>26</v>
      </c>
      <c r="Q260" t="s">
        <v>32</v>
      </c>
      <c r="R260" t="s">
        <v>28</v>
      </c>
      <c r="S260" t="s">
        <v>29</v>
      </c>
      <c r="T260">
        <v>22</v>
      </c>
    </row>
    <row r="261" spans="1:20" x14ac:dyDescent="0.45">
      <c r="A261" t="s">
        <v>21</v>
      </c>
      <c r="B261">
        <v>2024</v>
      </c>
      <c r="C261" t="s">
        <v>44</v>
      </c>
      <c r="D261" s="1">
        <v>45529</v>
      </c>
      <c r="E261" t="s">
        <v>23</v>
      </c>
      <c r="F261" t="s">
        <v>24</v>
      </c>
      <c r="G261">
        <v>48</v>
      </c>
      <c r="N261" s="2" t="s">
        <v>25</v>
      </c>
      <c r="P261" t="s">
        <v>26</v>
      </c>
      <c r="Q261" t="s">
        <v>33</v>
      </c>
      <c r="R261" t="s">
        <v>28</v>
      </c>
      <c r="S261" t="s">
        <v>29</v>
      </c>
      <c r="T261">
        <v>19</v>
      </c>
    </row>
    <row r="262" spans="1:20" x14ac:dyDescent="0.45">
      <c r="A262" t="s">
        <v>21</v>
      </c>
      <c r="B262">
        <v>2024</v>
      </c>
      <c r="C262" t="s">
        <v>45</v>
      </c>
      <c r="D262" s="1">
        <v>45536</v>
      </c>
      <c r="E262" t="s">
        <v>23</v>
      </c>
      <c r="F262" t="s">
        <v>24</v>
      </c>
      <c r="G262">
        <v>48</v>
      </c>
      <c r="N262" s="2" t="s">
        <v>25</v>
      </c>
      <c r="P262" t="s">
        <v>26</v>
      </c>
      <c r="Q262" t="s">
        <v>27</v>
      </c>
      <c r="R262" t="s">
        <v>28</v>
      </c>
      <c r="S262" t="s">
        <v>29</v>
      </c>
      <c r="T262">
        <v>5</v>
      </c>
    </row>
    <row r="263" spans="1:20" x14ac:dyDescent="0.45">
      <c r="A263" t="s">
        <v>21</v>
      </c>
      <c r="B263">
        <v>2024</v>
      </c>
      <c r="C263" t="s">
        <v>45</v>
      </c>
      <c r="D263" s="1">
        <v>45536</v>
      </c>
      <c r="E263" t="s">
        <v>23</v>
      </c>
      <c r="F263" t="s">
        <v>24</v>
      </c>
      <c r="G263">
        <v>48</v>
      </c>
      <c r="N263" s="2" t="s">
        <v>25</v>
      </c>
      <c r="P263" t="s">
        <v>26</v>
      </c>
      <c r="Q263" t="s">
        <v>30</v>
      </c>
      <c r="R263" t="s">
        <v>28</v>
      </c>
      <c r="S263" t="s">
        <v>29</v>
      </c>
      <c r="T263">
        <v>33</v>
      </c>
    </row>
    <row r="264" spans="1:20" x14ac:dyDescent="0.45">
      <c r="A264" t="s">
        <v>21</v>
      </c>
      <c r="B264">
        <v>2024</v>
      </c>
      <c r="C264" t="s">
        <v>45</v>
      </c>
      <c r="D264" s="1">
        <v>45536</v>
      </c>
      <c r="E264" t="s">
        <v>23</v>
      </c>
      <c r="F264" t="s">
        <v>24</v>
      </c>
      <c r="G264">
        <v>48</v>
      </c>
      <c r="N264" s="2" t="s">
        <v>25</v>
      </c>
      <c r="P264" t="s">
        <v>26</v>
      </c>
      <c r="Q264" t="s">
        <v>31</v>
      </c>
      <c r="R264" t="s">
        <v>28</v>
      </c>
      <c r="S264" t="s">
        <v>29</v>
      </c>
      <c r="T264">
        <v>31</v>
      </c>
    </row>
    <row r="265" spans="1:20" x14ac:dyDescent="0.45">
      <c r="A265" t="s">
        <v>21</v>
      </c>
      <c r="B265">
        <v>2024</v>
      </c>
      <c r="C265" t="s">
        <v>45</v>
      </c>
      <c r="D265" s="1">
        <v>45536</v>
      </c>
      <c r="E265" t="s">
        <v>23</v>
      </c>
      <c r="F265" t="s">
        <v>24</v>
      </c>
      <c r="G265">
        <v>48</v>
      </c>
      <c r="N265" s="2" t="s">
        <v>25</v>
      </c>
      <c r="P265" t="s">
        <v>26</v>
      </c>
      <c r="Q265" t="s">
        <v>32</v>
      </c>
      <c r="R265" t="s">
        <v>28</v>
      </c>
      <c r="S265" t="s">
        <v>29</v>
      </c>
      <c r="T265">
        <v>15</v>
      </c>
    </row>
    <row r="266" spans="1:20" x14ac:dyDescent="0.45">
      <c r="A266" t="s">
        <v>21</v>
      </c>
      <c r="B266">
        <v>2024</v>
      </c>
      <c r="C266" t="s">
        <v>45</v>
      </c>
      <c r="D266" s="1">
        <v>45536</v>
      </c>
      <c r="E266" t="s">
        <v>23</v>
      </c>
      <c r="F266" t="s">
        <v>24</v>
      </c>
      <c r="G266">
        <v>48</v>
      </c>
      <c r="N266" s="2" t="s">
        <v>25</v>
      </c>
      <c r="P266" t="s">
        <v>26</v>
      </c>
      <c r="Q266" t="s">
        <v>33</v>
      </c>
      <c r="R266" t="s">
        <v>28</v>
      </c>
      <c r="S266" t="s">
        <v>29</v>
      </c>
      <c r="T266">
        <v>16</v>
      </c>
    </row>
    <row r="267" spans="1:20" x14ac:dyDescent="0.45">
      <c r="A267" t="s">
        <v>21</v>
      </c>
      <c r="B267">
        <v>2024</v>
      </c>
      <c r="C267" t="s">
        <v>46</v>
      </c>
      <c r="D267" s="1">
        <v>45543</v>
      </c>
      <c r="E267" t="s">
        <v>23</v>
      </c>
      <c r="F267" t="s">
        <v>24</v>
      </c>
      <c r="G267">
        <v>48</v>
      </c>
      <c r="N267" s="2" t="s">
        <v>25</v>
      </c>
      <c r="P267" t="s">
        <v>26</v>
      </c>
      <c r="Q267" t="s">
        <v>27</v>
      </c>
      <c r="R267" t="s">
        <v>28</v>
      </c>
      <c r="S267" t="s">
        <v>29</v>
      </c>
      <c r="T267">
        <v>5</v>
      </c>
    </row>
    <row r="268" spans="1:20" x14ac:dyDescent="0.45">
      <c r="A268" t="s">
        <v>21</v>
      </c>
      <c r="B268">
        <v>2024</v>
      </c>
      <c r="C268" t="s">
        <v>46</v>
      </c>
      <c r="D268" s="1">
        <v>45543</v>
      </c>
      <c r="E268" t="s">
        <v>23</v>
      </c>
      <c r="F268" t="s">
        <v>24</v>
      </c>
      <c r="G268">
        <v>48</v>
      </c>
      <c r="N268" s="2" t="s">
        <v>25</v>
      </c>
      <c r="P268" t="s">
        <v>26</v>
      </c>
      <c r="Q268" t="s">
        <v>30</v>
      </c>
      <c r="R268" t="s">
        <v>28</v>
      </c>
      <c r="S268" t="s">
        <v>29</v>
      </c>
      <c r="T268">
        <v>32</v>
      </c>
    </row>
    <row r="269" spans="1:20" x14ac:dyDescent="0.45">
      <c r="A269" t="s">
        <v>21</v>
      </c>
      <c r="B269">
        <v>2024</v>
      </c>
      <c r="C269" t="s">
        <v>46</v>
      </c>
      <c r="D269" s="1">
        <v>45543</v>
      </c>
      <c r="E269" t="s">
        <v>23</v>
      </c>
      <c r="F269" t="s">
        <v>24</v>
      </c>
      <c r="G269">
        <v>48</v>
      </c>
      <c r="N269" s="2" t="s">
        <v>25</v>
      </c>
      <c r="P269" t="s">
        <v>26</v>
      </c>
      <c r="Q269" t="s">
        <v>31</v>
      </c>
      <c r="R269" t="s">
        <v>28</v>
      </c>
      <c r="S269" t="s">
        <v>29</v>
      </c>
      <c r="T269">
        <v>24</v>
      </c>
    </row>
    <row r="270" spans="1:20" x14ac:dyDescent="0.45">
      <c r="A270" t="s">
        <v>21</v>
      </c>
      <c r="B270">
        <v>2024</v>
      </c>
      <c r="C270" t="s">
        <v>46</v>
      </c>
      <c r="D270" s="1">
        <v>45543</v>
      </c>
      <c r="E270" t="s">
        <v>23</v>
      </c>
      <c r="F270" t="s">
        <v>24</v>
      </c>
      <c r="G270">
        <v>48</v>
      </c>
      <c r="N270" s="2" t="s">
        <v>25</v>
      </c>
      <c r="P270" t="s">
        <v>26</v>
      </c>
      <c r="Q270" t="s">
        <v>32</v>
      </c>
      <c r="R270" t="s">
        <v>28</v>
      </c>
      <c r="S270" t="s">
        <v>29</v>
      </c>
      <c r="T270">
        <v>21</v>
      </c>
    </row>
    <row r="271" spans="1:20" x14ac:dyDescent="0.45">
      <c r="A271" t="s">
        <v>21</v>
      </c>
      <c r="B271">
        <v>2024</v>
      </c>
      <c r="C271" t="s">
        <v>46</v>
      </c>
      <c r="D271" s="1">
        <v>45543</v>
      </c>
      <c r="E271" t="s">
        <v>23</v>
      </c>
      <c r="F271" t="s">
        <v>24</v>
      </c>
      <c r="G271">
        <v>48</v>
      </c>
      <c r="N271" s="2" t="s">
        <v>25</v>
      </c>
      <c r="P271" t="s">
        <v>26</v>
      </c>
      <c r="Q271" t="s">
        <v>33</v>
      </c>
      <c r="R271" t="s">
        <v>28</v>
      </c>
      <c r="S271" t="s">
        <v>29</v>
      </c>
      <c r="T271">
        <v>18</v>
      </c>
    </row>
    <row r="272" spans="1:20" x14ac:dyDescent="0.45">
      <c r="A272" t="s">
        <v>21</v>
      </c>
      <c r="B272">
        <v>2024</v>
      </c>
      <c r="C272" t="s">
        <v>47</v>
      </c>
      <c r="D272" s="1">
        <v>45550</v>
      </c>
      <c r="E272" t="s">
        <v>23</v>
      </c>
      <c r="F272" t="s">
        <v>24</v>
      </c>
      <c r="G272">
        <v>48</v>
      </c>
      <c r="N272" s="2" t="s">
        <v>25</v>
      </c>
      <c r="P272" t="s">
        <v>26</v>
      </c>
      <c r="Q272" t="s">
        <v>27</v>
      </c>
      <c r="R272" t="s">
        <v>28</v>
      </c>
      <c r="S272" t="s">
        <v>29</v>
      </c>
      <c r="T272">
        <v>3</v>
      </c>
    </row>
    <row r="273" spans="1:20" x14ac:dyDescent="0.45">
      <c r="A273" t="s">
        <v>21</v>
      </c>
      <c r="B273">
        <v>2024</v>
      </c>
      <c r="C273" t="s">
        <v>47</v>
      </c>
      <c r="D273" s="1">
        <v>45550</v>
      </c>
      <c r="E273" t="s">
        <v>23</v>
      </c>
      <c r="F273" t="s">
        <v>24</v>
      </c>
      <c r="G273">
        <v>48</v>
      </c>
      <c r="N273" s="2" t="s">
        <v>25</v>
      </c>
      <c r="P273" t="s">
        <v>26</v>
      </c>
      <c r="Q273" t="s">
        <v>30</v>
      </c>
      <c r="R273" t="s">
        <v>28</v>
      </c>
      <c r="S273" t="s">
        <v>29</v>
      </c>
      <c r="T273">
        <v>36</v>
      </c>
    </row>
    <row r="274" spans="1:20" x14ac:dyDescent="0.45">
      <c r="A274" t="s">
        <v>21</v>
      </c>
      <c r="B274">
        <v>2024</v>
      </c>
      <c r="C274" t="s">
        <v>47</v>
      </c>
      <c r="D274" s="1">
        <v>45550</v>
      </c>
      <c r="E274" t="s">
        <v>23</v>
      </c>
      <c r="F274" t="s">
        <v>24</v>
      </c>
      <c r="G274">
        <v>48</v>
      </c>
      <c r="N274" s="2" t="s">
        <v>25</v>
      </c>
      <c r="P274" t="s">
        <v>26</v>
      </c>
      <c r="Q274" t="s">
        <v>31</v>
      </c>
      <c r="R274" t="s">
        <v>28</v>
      </c>
      <c r="S274" t="s">
        <v>29</v>
      </c>
      <c r="T274">
        <v>25</v>
      </c>
    </row>
    <row r="275" spans="1:20" x14ac:dyDescent="0.45">
      <c r="A275" t="s">
        <v>21</v>
      </c>
      <c r="B275">
        <v>2024</v>
      </c>
      <c r="C275" t="s">
        <v>47</v>
      </c>
      <c r="D275" s="1">
        <v>45550</v>
      </c>
      <c r="E275" t="s">
        <v>23</v>
      </c>
      <c r="F275" t="s">
        <v>24</v>
      </c>
      <c r="G275">
        <v>48</v>
      </c>
      <c r="N275" s="2" t="s">
        <v>25</v>
      </c>
      <c r="P275" t="s">
        <v>26</v>
      </c>
      <c r="Q275" t="s">
        <v>32</v>
      </c>
      <c r="R275" t="s">
        <v>28</v>
      </c>
      <c r="S275" t="s">
        <v>29</v>
      </c>
      <c r="T275">
        <v>21</v>
      </c>
    </row>
    <row r="276" spans="1:20" x14ac:dyDescent="0.45">
      <c r="A276" t="s">
        <v>21</v>
      </c>
      <c r="B276">
        <v>2024</v>
      </c>
      <c r="C276" t="s">
        <v>47</v>
      </c>
      <c r="D276" s="1">
        <v>45550</v>
      </c>
      <c r="E276" t="s">
        <v>23</v>
      </c>
      <c r="F276" t="s">
        <v>24</v>
      </c>
      <c r="G276">
        <v>48</v>
      </c>
      <c r="N276" s="2" t="s">
        <v>25</v>
      </c>
      <c r="P276" t="s">
        <v>26</v>
      </c>
      <c r="Q276" t="s">
        <v>33</v>
      </c>
      <c r="R276" t="s">
        <v>28</v>
      </c>
      <c r="S276" t="s">
        <v>29</v>
      </c>
      <c r="T276">
        <v>15</v>
      </c>
    </row>
    <row r="277" spans="1:20" x14ac:dyDescent="0.45">
      <c r="A277" t="s">
        <v>21</v>
      </c>
      <c r="B277">
        <v>2024</v>
      </c>
      <c r="C277" t="s">
        <v>48</v>
      </c>
      <c r="D277" s="1">
        <v>45557</v>
      </c>
      <c r="E277" t="s">
        <v>23</v>
      </c>
      <c r="F277" t="s">
        <v>24</v>
      </c>
      <c r="G277">
        <v>48</v>
      </c>
      <c r="N277" s="2" t="s">
        <v>25</v>
      </c>
      <c r="P277" t="s">
        <v>26</v>
      </c>
      <c r="Q277" t="s">
        <v>27</v>
      </c>
      <c r="R277" t="s">
        <v>28</v>
      </c>
      <c r="S277" t="s">
        <v>29</v>
      </c>
      <c r="T277">
        <v>3</v>
      </c>
    </row>
    <row r="278" spans="1:20" x14ac:dyDescent="0.45">
      <c r="A278" t="s">
        <v>21</v>
      </c>
      <c r="B278">
        <v>2024</v>
      </c>
      <c r="C278" t="s">
        <v>48</v>
      </c>
      <c r="D278" s="1">
        <v>45557</v>
      </c>
      <c r="E278" t="s">
        <v>23</v>
      </c>
      <c r="F278" t="s">
        <v>24</v>
      </c>
      <c r="G278">
        <v>48</v>
      </c>
      <c r="N278" s="2" t="s">
        <v>25</v>
      </c>
      <c r="P278" t="s">
        <v>26</v>
      </c>
      <c r="Q278" t="s">
        <v>30</v>
      </c>
      <c r="R278" t="s">
        <v>28</v>
      </c>
      <c r="S278" t="s">
        <v>29</v>
      </c>
      <c r="T278">
        <v>30</v>
      </c>
    </row>
    <row r="279" spans="1:20" x14ac:dyDescent="0.45">
      <c r="A279" t="s">
        <v>21</v>
      </c>
      <c r="B279">
        <v>2024</v>
      </c>
      <c r="C279" t="s">
        <v>48</v>
      </c>
      <c r="D279" s="1">
        <v>45557</v>
      </c>
      <c r="E279" t="s">
        <v>23</v>
      </c>
      <c r="F279" t="s">
        <v>24</v>
      </c>
      <c r="G279">
        <v>48</v>
      </c>
      <c r="N279" s="2" t="s">
        <v>25</v>
      </c>
      <c r="P279" t="s">
        <v>26</v>
      </c>
      <c r="Q279" t="s">
        <v>31</v>
      </c>
      <c r="R279" t="s">
        <v>28</v>
      </c>
      <c r="S279" t="s">
        <v>29</v>
      </c>
      <c r="T279">
        <v>19</v>
      </c>
    </row>
    <row r="280" spans="1:20" x14ac:dyDescent="0.45">
      <c r="A280" t="s">
        <v>21</v>
      </c>
      <c r="B280">
        <v>2024</v>
      </c>
      <c r="C280" t="s">
        <v>48</v>
      </c>
      <c r="D280" s="1">
        <v>45557</v>
      </c>
      <c r="E280" t="s">
        <v>23</v>
      </c>
      <c r="F280" t="s">
        <v>24</v>
      </c>
      <c r="G280">
        <v>48</v>
      </c>
      <c r="N280" s="2" t="s">
        <v>25</v>
      </c>
      <c r="P280" t="s">
        <v>26</v>
      </c>
      <c r="Q280" t="s">
        <v>32</v>
      </c>
      <c r="R280" t="s">
        <v>28</v>
      </c>
      <c r="S280" t="s">
        <v>29</v>
      </c>
      <c r="T280">
        <v>26</v>
      </c>
    </row>
    <row r="281" spans="1:20" x14ac:dyDescent="0.45">
      <c r="A281" t="s">
        <v>21</v>
      </c>
      <c r="B281">
        <v>2024</v>
      </c>
      <c r="C281" t="s">
        <v>48</v>
      </c>
      <c r="D281" s="1">
        <v>45557</v>
      </c>
      <c r="E281" t="s">
        <v>23</v>
      </c>
      <c r="F281" t="s">
        <v>24</v>
      </c>
      <c r="G281">
        <v>48</v>
      </c>
      <c r="N281" s="2" t="s">
        <v>25</v>
      </c>
      <c r="P281" t="s">
        <v>26</v>
      </c>
      <c r="Q281" t="s">
        <v>33</v>
      </c>
      <c r="R281" t="s">
        <v>28</v>
      </c>
      <c r="S281" t="s">
        <v>29</v>
      </c>
      <c r="T281">
        <v>22</v>
      </c>
    </row>
    <row r="282" spans="1:20" x14ac:dyDescent="0.45">
      <c r="A282" t="s">
        <v>21</v>
      </c>
      <c r="B282">
        <v>2024</v>
      </c>
      <c r="C282" t="s">
        <v>52</v>
      </c>
      <c r="D282" s="1">
        <v>45564</v>
      </c>
      <c r="E282" t="s">
        <v>23</v>
      </c>
      <c r="F282" t="s">
        <v>24</v>
      </c>
      <c r="G282">
        <v>48</v>
      </c>
      <c r="N282" s="2" t="s">
        <v>25</v>
      </c>
      <c r="P282" t="s">
        <v>26</v>
      </c>
      <c r="Q282" t="s">
        <v>27</v>
      </c>
      <c r="R282" t="s">
        <v>28</v>
      </c>
      <c r="S282" t="s">
        <v>29</v>
      </c>
      <c r="T282">
        <v>2</v>
      </c>
    </row>
    <row r="283" spans="1:20" x14ac:dyDescent="0.45">
      <c r="A283" t="s">
        <v>21</v>
      </c>
      <c r="B283">
        <v>2024</v>
      </c>
      <c r="C283" t="s">
        <v>52</v>
      </c>
      <c r="D283" s="1">
        <v>45564</v>
      </c>
      <c r="E283" t="s">
        <v>23</v>
      </c>
      <c r="F283" t="s">
        <v>24</v>
      </c>
      <c r="G283">
        <v>48</v>
      </c>
      <c r="N283" s="2" t="s">
        <v>25</v>
      </c>
      <c r="P283" t="s">
        <v>26</v>
      </c>
      <c r="Q283" t="s">
        <v>30</v>
      </c>
      <c r="R283" t="s">
        <v>28</v>
      </c>
      <c r="S283" t="s">
        <v>29</v>
      </c>
      <c r="T283">
        <v>30</v>
      </c>
    </row>
    <row r="284" spans="1:20" x14ac:dyDescent="0.45">
      <c r="A284" t="s">
        <v>21</v>
      </c>
      <c r="B284">
        <v>2024</v>
      </c>
      <c r="C284" t="s">
        <v>52</v>
      </c>
      <c r="D284" s="1">
        <v>45564</v>
      </c>
      <c r="E284" t="s">
        <v>23</v>
      </c>
      <c r="F284" t="s">
        <v>24</v>
      </c>
      <c r="G284">
        <v>48</v>
      </c>
      <c r="N284" s="2" t="s">
        <v>25</v>
      </c>
      <c r="P284" t="s">
        <v>26</v>
      </c>
      <c r="Q284" t="s">
        <v>31</v>
      </c>
      <c r="R284" t="s">
        <v>28</v>
      </c>
      <c r="S284" t="s">
        <v>29</v>
      </c>
      <c r="T284">
        <v>18</v>
      </c>
    </row>
    <row r="285" spans="1:20" x14ac:dyDescent="0.45">
      <c r="A285" t="s">
        <v>21</v>
      </c>
      <c r="B285">
        <v>2024</v>
      </c>
      <c r="C285" t="s">
        <v>52</v>
      </c>
      <c r="D285" s="1">
        <v>45564</v>
      </c>
      <c r="E285" t="s">
        <v>23</v>
      </c>
      <c r="F285" t="s">
        <v>24</v>
      </c>
      <c r="G285">
        <v>48</v>
      </c>
      <c r="N285" s="2" t="s">
        <v>25</v>
      </c>
      <c r="P285" t="s">
        <v>26</v>
      </c>
      <c r="Q285" t="s">
        <v>32</v>
      </c>
      <c r="R285" t="s">
        <v>28</v>
      </c>
      <c r="S285" t="s">
        <v>29</v>
      </c>
      <c r="T285">
        <v>25</v>
      </c>
    </row>
    <row r="286" spans="1:20" x14ac:dyDescent="0.45">
      <c r="A286" t="s">
        <v>21</v>
      </c>
      <c r="B286">
        <v>2024</v>
      </c>
      <c r="C286" t="s">
        <v>52</v>
      </c>
      <c r="D286" s="1">
        <v>45564</v>
      </c>
      <c r="E286" t="s">
        <v>23</v>
      </c>
      <c r="F286" t="s">
        <v>24</v>
      </c>
      <c r="G286">
        <v>48</v>
      </c>
      <c r="N286" s="2" t="s">
        <v>25</v>
      </c>
      <c r="P286" t="s">
        <v>26</v>
      </c>
      <c r="Q286" t="s">
        <v>33</v>
      </c>
      <c r="R286" t="s">
        <v>28</v>
      </c>
      <c r="S286" t="s">
        <v>29</v>
      </c>
      <c r="T286">
        <v>25</v>
      </c>
    </row>
    <row r="287" spans="1:20" x14ac:dyDescent="0.45">
      <c r="A287" t="s">
        <v>21</v>
      </c>
      <c r="B287">
        <v>2024</v>
      </c>
      <c r="C287" t="s">
        <v>55</v>
      </c>
      <c r="D287" s="1">
        <v>45571</v>
      </c>
      <c r="E287" t="s">
        <v>23</v>
      </c>
      <c r="F287" t="s">
        <v>24</v>
      </c>
      <c r="G287">
        <v>48</v>
      </c>
      <c r="N287" s="2" t="s">
        <v>25</v>
      </c>
      <c r="P287" t="s">
        <v>26</v>
      </c>
      <c r="Q287" t="s">
        <v>27</v>
      </c>
      <c r="R287" t="s">
        <v>28</v>
      </c>
      <c r="S287" t="s">
        <v>29</v>
      </c>
      <c r="T287">
        <v>1</v>
      </c>
    </row>
    <row r="288" spans="1:20" x14ac:dyDescent="0.45">
      <c r="A288" t="s">
        <v>21</v>
      </c>
      <c r="B288">
        <v>2024</v>
      </c>
      <c r="C288" t="s">
        <v>55</v>
      </c>
      <c r="D288" s="1">
        <v>45571</v>
      </c>
      <c r="E288" t="s">
        <v>23</v>
      </c>
      <c r="F288" t="s">
        <v>24</v>
      </c>
      <c r="G288">
        <v>48</v>
      </c>
      <c r="N288" s="2" t="s">
        <v>25</v>
      </c>
      <c r="P288" t="s">
        <v>26</v>
      </c>
      <c r="Q288" t="s">
        <v>30</v>
      </c>
      <c r="R288" t="s">
        <v>28</v>
      </c>
      <c r="S288" t="s">
        <v>29</v>
      </c>
      <c r="T288">
        <v>35</v>
      </c>
    </row>
    <row r="289" spans="1:20" x14ac:dyDescent="0.45">
      <c r="A289" t="s">
        <v>21</v>
      </c>
      <c r="B289">
        <v>2024</v>
      </c>
      <c r="C289" t="s">
        <v>55</v>
      </c>
      <c r="D289" s="1">
        <v>45571</v>
      </c>
      <c r="E289" t="s">
        <v>23</v>
      </c>
      <c r="F289" t="s">
        <v>24</v>
      </c>
      <c r="G289">
        <v>48</v>
      </c>
      <c r="N289" s="2" t="s">
        <v>25</v>
      </c>
      <c r="P289" t="s">
        <v>26</v>
      </c>
      <c r="Q289" t="s">
        <v>31</v>
      </c>
      <c r="R289" t="s">
        <v>28</v>
      </c>
      <c r="S289" t="s">
        <v>29</v>
      </c>
      <c r="T289">
        <v>16</v>
      </c>
    </row>
    <row r="290" spans="1:20" x14ac:dyDescent="0.45">
      <c r="A290" t="s">
        <v>21</v>
      </c>
      <c r="B290">
        <v>2024</v>
      </c>
      <c r="C290" t="s">
        <v>55</v>
      </c>
      <c r="D290" s="1">
        <v>45571</v>
      </c>
      <c r="E290" t="s">
        <v>23</v>
      </c>
      <c r="F290" t="s">
        <v>24</v>
      </c>
      <c r="G290">
        <v>48</v>
      </c>
      <c r="N290" s="2" t="s">
        <v>25</v>
      </c>
      <c r="P290" t="s">
        <v>26</v>
      </c>
      <c r="Q290" t="s">
        <v>32</v>
      </c>
      <c r="R290" t="s">
        <v>28</v>
      </c>
      <c r="S290" t="s">
        <v>29</v>
      </c>
      <c r="T290">
        <v>28</v>
      </c>
    </row>
    <row r="291" spans="1:20" x14ac:dyDescent="0.45">
      <c r="A291" t="s">
        <v>21</v>
      </c>
      <c r="B291">
        <v>2024</v>
      </c>
      <c r="C291" t="s">
        <v>55</v>
      </c>
      <c r="D291" s="1">
        <v>45571</v>
      </c>
      <c r="E291" t="s">
        <v>23</v>
      </c>
      <c r="F291" t="s">
        <v>24</v>
      </c>
      <c r="G291">
        <v>48</v>
      </c>
      <c r="N291" s="2" t="s">
        <v>25</v>
      </c>
      <c r="P291" t="s">
        <v>26</v>
      </c>
      <c r="Q291" t="s">
        <v>33</v>
      </c>
      <c r="R291" t="s">
        <v>28</v>
      </c>
      <c r="S291" t="s">
        <v>29</v>
      </c>
      <c r="T291">
        <v>20</v>
      </c>
    </row>
    <row r="292" spans="1:20" x14ac:dyDescent="0.45">
      <c r="A292" t="s">
        <v>21</v>
      </c>
      <c r="B292">
        <v>2024</v>
      </c>
      <c r="C292" t="s">
        <v>56</v>
      </c>
      <c r="D292" s="1">
        <v>45578</v>
      </c>
      <c r="E292" t="s">
        <v>23</v>
      </c>
      <c r="F292" t="s">
        <v>24</v>
      </c>
      <c r="G292">
        <v>48</v>
      </c>
      <c r="N292" s="2" t="s">
        <v>25</v>
      </c>
      <c r="P292" t="s">
        <v>26</v>
      </c>
      <c r="Q292" t="s">
        <v>27</v>
      </c>
      <c r="R292" t="s">
        <v>28</v>
      </c>
      <c r="S292" t="s">
        <v>29</v>
      </c>
      <c r="T292">
        <v>3</v>
      </c>
    </row>
    <row r="293" spans="1:20" x14ac:dyDescent="0.45">
      <c r="A293" t="s">
        <v>21</v>
      </c>
      <c r="B293">
        <v>2024</v>
      </c>
      <c r="C293" t="s">
        <v>56</v>
      </c>
      <c r="D293" s="1">
        <v>45578</v>
      </c>
      <c r="E293" t="s">
        <v>23</v>
      </c>
      <c r="F293" t="s">
        <v>24</v>
      </c>
      <c r="G293">
        <v>48</v>
      </c>
      <c r="N293" s="2" t="s">
        <v>25</v>
      </c>
      <c r="P293" t="s">
        <v>26</v>
      </c>
      <c r="Q293" t="s">
        <v>30</v>
      </c>
      <c r="R293" t="s">
        <v>28</v>
      </c>
      <c r="S293" t="s">
        <v>29</v>
      </c>
      <c r="T293">
        <v>32</v>
      </c>
    </row>
    <row r="294" spans="1:20" x14ac:dyDescent="0.45">
      <c r="A294" t="s">
        <v>21</v>
      </c>
      <c r="B294">
        <v>2024</v>
      </c>
      <c r="C294" t="s">
        <v>56</v>
      </c>
      <c r="D294" s="1">
        <v>45578</v>
      </c>
      <c r="E294" t="s">
        <v>23</v>
      </c>
      <c r="F294" t="s">
        <v>24</v>
      </c>
      <c r="G294">
        <v>48</v>
      </c>
      <c r="N294" s="2" t="s">
        <v>25</v>
      </c>
      <c r="P294" t="s">
        <v>26</v>
      </c>
      <c r="Q294" t="s">
        <v>31</v>
      </c>
      <c r="R294" t="s">
        <v>28</v>
      </c>
      <c r="S294" t="s">
        <v>29</v>
      </c>
      <c r="T294">
        <v>20</v>
      </c>
    </row>
    <row r="295" spans="1:20" x14ac:dyDescent="0.45">
      <c r="A295" t="s">
        <v>21</v>
      </c>
      <c r="B295">
        <v>2024</v>
      </c>
      <c r="C295" t="s">
        <v>56</v>
      </c>
      <c r="D295" s="1">
        <v>45578</v>
      </c>
      <c r="E295" t="s">
        <v>23</v>
      </c>
      <c r="F295" t="s">
        <v>24</v>
      </c>
      <c r="G295">
        <v>48</v>
      </c>
      <c r="N295" s="2" t="s">
        <v>25</v>
      </c>
      <c r="P295" t="s">
        <v>26</v>
      </c>
      <c r="Q295" t="s">
        <v>32</v>
      </c>
      <c r="R295" t="s">
        <v>28</v>
      </c>
      <c r="S295" t="s">
        <v>29</v>
      </c>
      <c r="T295">
        <v>30</v>
      </c>
    </row>
    <row r="296" spans="1:20" x14ac:dyDescent="0.45">
      <c r="A296" t="s">
        <v>21</v>
      </c>
      <c r="B296">
        <v>2024</v>
      </c>
      <c r="C296" t="s">
        <v>56</v>
      </c>
      <c r="D296" s="1">
        <v>45578</v>
      </c>
      <c r="E296" t="s">
        <v>23</v>
      </c>
      <c r="F296" t="s">
        <v>24</v>
      </c>
      <c r="G296">
        <v>48</v>
      </c>
      <c r="N296" s="2" t="s">
        <v>25</v>
      </c>
      <c r="P296" t="s">
        <v>26</v>
      </c>
      <c r="Q296" t="s">
        <v>33</v>
      </c>
      <c r="R296" t="s">
        <v>28</v>
      </c>
      <c r="S296" t="s">
        <v>29</v>
      </c>
      <c r="T296">
        <v>15</v>
      </c>
    </row>
    <row r="297" spans="1:20" x14ac:dyDescent="0.45">
      <c r="A297" t="s">
        <v>21</v>
      </c>
      <c r="B297">
        <v>2024</v>
      </c>
      <c r="C297" t="s">
        <v>57</v>
      </c>
      <c r="D297" s="1">
        <v>45585</v>
      </c>
      <c r="E297" t="s">
        <v>23</v>
      </c>
      <c r="F297" t="s">
        <v>24</v>
      </c>
      <c r="G297">
        <v>48</v>
      </c>
      <c r="N297" s="2" t="s">
        <v>25</v>
      </c>
      <c r="P297" t="s">
        <v>26</v>
      </c>
      <c r="Q297" t="s">
        <v>27</v>
      </c>
      <c r="R297" t="s">
        <v>28</v>
      </c>
      <c r="S297" t="s">
        <v>29</v>
      </c>
      <c r="T297">
        <v>5</v>
      </c>
    </row>
    <row r="298" spans="1:20" x14ac:dyDescent="0.45">
      <c r="A298" t="s">
        <v>21</v>
      </c>
      <c r="B298">
        <v>2024</v>
      </c>
      <c r="C298" t="s">
        <v>57</v>
      </c>
      <c r="D298" s="1">
        <v>45585</v>
      </c>
      <c r="E298" t="s">
        <v>23</v>
      </c>
      <c r="F298" t="s">
        <v>24</v>
      </c>
      <c r="G298">
        <v>48</v>
      </c>
      <c r="N298" s="2" t="s">
        <v>25</v>
      </c>
      <c r="P298" t="s">
        <v>26</v>
      </c>
      <c r="Q298" t="s">
        <v>30</v>
      </c>
      <c r="R298" t="s">
        <v>28</v>
      </c>
      <c r="S298" t="s">
        <v>29</v>
      </c>
      <c r="T298">
        <v>27</v>
      </c>
    </row>
    <row r="299" spans="1:20" x14ac:dyDescent="0.45">
      <c r="A299" t="s">
        <v>21</v>
      </c>
      <c r="B299">
        <v>2024</v>
      </c>
      <c r="C299" t="s">
        <v>57</v>
      </c>
      <c r="D299" s="1">
        <v>45585</v>
      </c>
      <c r="E299" t="s">
        <v>23</v>
      </c>
      <c r="F299" t="s">
        <v>24</v>
      </c>
      <c r="G299">
        <v>48</v>
      </c>
      <c r="N299" s="2" t="s">
        <v>25</v>
      </c>
      <c r="P299" t="s">
        <v>26</v>
      </c>
      <c r="Q299" t="s">
        <v>31</v>
      </c>
      <c r="R299" t="s">
        <v>28</v>
      </c>
      <c r="S299" t="s">
        <v>29</v>
      </c>
      <c r="T299">
        <v>23</v>
      </c>
    </row>
    <row r="300" spans="1:20" x14ac:dyDescent="0.45">
      <c r="A300" t="s">
        <v>21</v>
      </c>
      <c r="B300">
        <v>2024</v>
      </c>
      <c r="C300" t="s">
        <v>57</v>
      </c>
      <c r="D300" s="1">
        <v>45585</v>
      </c>
      <c r="E300" t="s">
        <v>23</v>
      </c>
      <c r="F300" t="s">
        <v>24</v>
      </c>
      <c r="G300">
        <v>48</v>
      </c>
      <c r="N300" s="2" t="s">
        <v>25</v>
      </c>
      <c r="P300" t="s">
        <v>26</v>
      </c>
      <c r="Q300" t="s">
        <v>32</v>
      </c>
      <c r="R300" t="s">
        <v>28</v>
      </c>
      <c r="S300" t="s">
        <v>29</v>
      </c>
      <c r="T300">
        <v>22</v>
      </c>
    </row>
    <row r="301" spans="1:20" x14ac:dyDescent="0.45">
      <c r="A301" t="s">
        <v>21</v>
      </c>
      <c r="B301">
        <v>2024</v>
      </c>
      <c r="C301" t="s">
        <v>57</v>
      </c>
      <c r="D301" s="1">
        <v>45585</v>
      </c>
      <c r="E301" t="s">
        <v>23</v>
      </c>
      <c r="F301" t="s">
        <v>24</v>
      </c>
      <c r="G301">
        <v>48</v>
      </c>
      <c r="N301" s="2" t="s">
        <v>25</v>
      </c>
      <c r="P301" t="s">
        <v>26</v>
      </c>
      <c r="Q301" t="s">
        <v>33</v>
      </c>
      <c r="R301" t="s">
        <v>28</v>
      </c>
      <c r="S301" t="s">
        <v>29</v>
      </c>
      <c r="T301">
        <v>23</v>
      </c>
    </row>
    <row r="302" spans="1:20" x14ac:dyDescent="0.45">
      <c r="A302" t="s">
        <v>21</v>
      </c>
      <c r="B302">
        <v>2024</v>
      </c>
      <c r="C302" t="s">
        <v>58</v>
      </c>
      <c r="D302" s="1">
        <v>45592</v>
      </c>
      <c r="E302" t="s">
        <v>23</v>
      </c>
      <c r="F302" t="s">
        <v>24</v>
      </c>
      <c r="G302">
        <v>48</v>
      </c>
      <c r="N302" s="2" t="s">
        <v>25</v>
      </c>
      <c r="P302" t="s">
        <v>26</v>
      </c>
      <c r="Q302" t="s">
        <v>27</v>
      </c>
      <c r="R302" t="s">
        <v>28</v>
      </c>
      <c r="S302" t="s">
        <v>29</v>
      </c>
      <c r="T302">
        <v>2</v>
      </c>
    </row>
    <row r="303" spans="1:20" x14ac:dyDescent="0.45">
      <c r="A303" t="s">
        <v>21</v>
      </c>
      <c r="B303">
        <v>2024</v>
      </c>
      <c r="C303" t="s">
        <v>58</v>
      </c>
      <c r="D303" s="1">
        <v>45592</v>
      </c>
      <c r="E303" t="s">
        <v>23</v>
      </c>
      <c r="F303" t="s">
        <v>24</v>
      </c>
      <c r="G303">
        <v>48</v>
      </c>
      <c r="N303" s="2" t="s">
        <v>25</v>
      </c>
      <c r="P303" t="s">
        <v>26</v>
      </c>
      <c r="Q303" t="s">
        <v>30</v>
      </c>
      <c r="R303" t="s">
        <v>28</v>
      </c>
      <c r="S303" t="s">
        <v>29</v>
      </c>
      <c r="T303">
        <v>28</v>
      </c>
    </row>
    <row r="304" spans="1:20" x14ac:dyDescent="0.45">
      <c r="A304" t="s">
        <v>21</v>
      </c>
      <c r="B304">
        <v>2024</v>
      </c>
      <c r="C304" t="s">
        <v>58</v>
      </c>
      <c r="D304" s="1">
        <v>45592</v>
      </c>
      <c r="E304" t="s">
        <v>23</v>
      </c>
      <c r="F304" t="s">
        <v>24</v>
      </c>
      <c r="G304">
        <v>48</v>
      </c>
      <c r="N304" s="2" t="s">
        <v>25</v>
      </c>
      <c r="P304" t="s">
        <v>26</v>
      </c>
      <c r="Q304" t="s">
        <v>31</v>
      </c>
      <c r="R304" t="s">
        <v>28</v>
      </c>
      <c r="S304" t="s">
        <v>29</v>
      </c>
      <c r="T304">
        <v>20</v>
      </c>
    </row>
    <row r="305" spans="1:20" x14ac:dyDescent="0.45">
      <c r="A305" t="s">
        <v>21</v>
      </c>
      <c r="B305">
        <v>2024</v>
      </c>
      <c r="C305" t="s">
        <v>58</v>
      </c>
      <c r="D305" s="1">
        <v>45592</v>
      </c>
      <c r="E305" t="s">
        <v>23</v>
      </c>
      <c r="F305" t="s">
        <v>24</v>
      </c>
      <c r="G305">
        <v>48</v>
      </c>
      <c r="N305" s="2" t="s">
        <v>25</v>
      </c>
      <c r="P305" t="s">
        <v>26</v>
      </c>
      <c r="Q305" t="s">
        <v>32</v>
      </c>
      <c r="R305" t="s">
        <v>28</v>
      </c>
      <c r="S305" t="s">
        <v>29</v>
      </c>
      <c r="T305">
        <v>28</v>
      </c>
    </row>
    <row r="306" spans="1:20" x14ac:dyDescent="0.45">
      <c r="A306" t="s">
        <v>21</v>
      </c>
      <c r="B306">
        <v>2024</v>
      </c>
      <c r="C306" t="s">
        <v>58</v>
      </c>
      <c r="D306" s="1">
        <v>45592</v>
      </c>
      <c r="E306" t="s">
        <v>23</v>
      </c>
      <c r="F306" t="s">
        <v>24</v>
      </c>
      <c r="G306">
        <v>48</v>
      </c>
      <c r="N306" s="2" t="s">
        <v>25</v>
      </c>
      <c r="P306" t="s">
        <v>26</v>
      </c>
      <c r="Q306" t="s">
        <v>33</v>
      </c>
      <c r="R306" t="s">
        <v>28</v>
      </c>
      <c r="S306" t="s">
        <v>29</v>
      </c>
      <c r="T306">
        <v>22</v>
      </c>
    </row>
    <row r="307" spans="1:20" x14ac:dyDescent="0.45">
      <c r="A307" t="s">
        <v>21</v>
      </c>
      <c r="B307">
        <v>2024</v>
      </c>
      <c r="C307" t="s">
        <v>59</v>
      </c>
      <c r="D307" s="1">
        <v>45599</v>
      </c>
      <c r="E307" t="s">
        <v>23</v>
      </c>
      <c r="F307" t="s">
        <v>24</v>
      </c>
      <c r="G307">
        <v>48</v>
      </c>
      <c r="N307" s="2" t="s">
        <v>25</v>
      </c>
      <c r="P307" t="s">
        <v>26</v>
      </c>
      <c r="Q307" t="s">
        <v>27</v>
      </c>
      <c r="R307" t="s">
        <v>28</v>
      </c>
      <c r="S307" t="s">
        <v>29</v>
      </c>
      <c r="T307">
        <v>2</v>
      </c>
    </row>
    <row r="308" spans="1:20" x14ac:dyDescent="0.45">
      <c r="A308" t="s">
        <v>21</v>
      </c>
      <c r="B308">
        <v>2024</v>
      </c>
      <c r="C308" t="s">
        <v>59</v>
      </c>
      <c r="D308" s="1">
        <v>45599</v>
      </c>
      <c r="E308" t="s">
        <v>23</v>
      </c>
      <c r="F308" t="s">
        <v>24</v>
      </c>
      <c r="G308">
        <v>48</v>
      </c>
      <c r="N308" s="2" t="s">
        <v>25</v>
      </c>
      <c r="P308" t="s">
        <v>26</v>
      </c>
      <c r="Q308" t="s">
        <v>30</v>
      </c>
      <c r="R308" t="s">
        <v>28</v>
      </c>
      <c r="S308" t="s">
        <v>29</v>
      </c>
      <c r="T308">
        <v>27</v>
      </c>
    </row>
    <row r="309" spans="1:20" x14ac:dyDescent="0.45">
      <c r="A309" t="s">
        <v>21</v>
      </c>
      <c r="B309">
        <v>2024</v>
      </c>
      <c r="C309" t="s">
        <v>59</v>
      </c>
      <c r="D309" s="1">
        <v>45599</v>
      </c>
      <c r="E309" t="s">
        <v>23</v>
      </c>
      <c r="F309" t="s">
        <v>24</v>
      </c>
      <c r="G309">
        <v>48</v>
      </c>
      <c r="N309" s="2" t="s">
        <v>25</v>
      </c>
      <c r="P309" t="s">
        <v>26</v>
      </c>
      <c r="Q309" t="s">
        <v>31</v>
      </c>
      <c r="R309" t="s">
        <v>28</v>
      </c>
      <c r="S309" t="s">
        <v>29</v>
      </c>
      <c r="T309">
        <v>16</v>
      </c>
    </row>
    <row r="310" spans="1:20" x14ac:dyDescent="0.45">
      <c r="A310" t="s">
        <v>21</v>
      </c>
      <c r="B310">
        <v>2024</v>
      </c>
      <c r="C310" t="s">
        <v>59</v>
      </c>
      <c r="D310" s="1">
        <v>45599</v>
      </c>
      <c r="E310" t="s">
        <v>23</v>
      </c>
      <c r="F310" t="s">
        <v>24</v>
      </c>
      <c r="G310">
        <v>48</v>
      </c>
      <c r="N310" s="2" t="s">
        <v>25</v>
      </c>
      <c r="P310" t="s">
        <v>26</v>
      </c>
      <c r="Q310" t="s">
        <v>32</v>
      </c>
      <c r="R310" t="s">
        <v>28</v>
      </c>
      <c r="S310" t="s">
        <v>29</v>
      </c>
      <c r="T310">
        <v>33</v>
      </c>
    </row>
    <row r="311" spans="1:20" x14ac:dyDescent="0.45">
      <c r="A311" t="s">
        <v>21</v>
      </c>
      <c r="B311">
        <v>2024</v>
      </c>
      <c r="C311" t="s">
        <v>59</v>
      </c>
      <c r="D311" s="1">
        <v>45599</v>
      </c>
      <c r="E311" t="s">
        <v>23</v>
      </c>
      <c r="F311" t="s">
        <v>24</v>
      </c>
      <c r="G311">
        <v>48</v>
      </c>
      <c r="N311" s="2" t="s">
        <v>25</v>
      </c>
      <c r="P311" t="s">
        <v>26</v>
      </c>
      <c r="Q311" t="s">
        <v>33</v>
      </c>
      <c r="R311" t="s">
        <v>28</v>
      </c>
      <c r="S311" t="s">
        <v>29</v>
      </c>
      <c r="T311">
        <v>22</v>
      </c>
    </row>
    <row r="312" spans="1:20" x14ac:dyDescent="0.45">
      <c r="A312" t="s">
        <v>21</v>
      </c>
      <c r="B312">
        <v>2024</v>
      </c>
      <c r="C312" t="s">
        <v>60</v>
      </c>
      <c r="D312" s="1">
        <v>45606</v>
      </c>
      <c r="E312" t="s">
        <v>23</v>
      </c>
      <c r="F312" t="s">
        <v>24</v>
      </c>
      <c r="G312">
        <v>48</v>
      </c>
      <c r="N312" s="2" t="s">
        <v>25</v>
      </c>
      <c r="P312" t="s">
        <v>26</v>
      </c>
      <c r="Q312" t="s">
        <v>27</v>
      </c>
      <c r="R312" t="s">
        <v>28</v>
      </c>
      <c r="S312" t="s">
        <v>29</v>
      </c>
      <c r="T312">
        <v>2</v>
      </c>
    </row>
    <row r="313" spans="1:20" x14ac:dyDescent="0.45">
      <c r="A313" t="s">
        <v>21</v>
      </c>
      <c r="B313">
        <v>2024</v>
      </c>
      <c r="C313" t="s">
        <v>60</v>
      </c>
      <c r="D313" s="1">
        <v>45606</v>
      </c>
      <c r="E313" t="s">
        <v>23</v>
      </c>
      <c r="F313" t="s">
        <v>24</v>
      </c>
      <c r="G313">
        <v>48</v>
      </c>
      <c r="N313" s="2" t="s">
        <v>25</v>
      </c>
      <c r="P313" t="s">
        <v>26</v>
      </c>
      <c r="Q313" t="s">
        <v>30</v>
      </c>
      <c r="R313" t="s">
        <v>28</v>
      </c>
      <c r="S313" t="s">
        <v>29</v>
      </c>
      <c r="T313">
        <v>27</v>
      </c>
    </row>
    <row r="314" spans="1:20" x14ac:dyDescent="0.45">
      <c r="A314" t="s">
        <v>21</v>
      </c>
      <c r="B314">
        <v>2024</v>
      </c>
      <c r="C314" t="s">
        <v>60</v>
      </c>
      <c r="D314" s="1">
        <v>45606</v>
      </c>
      <c r="E314" t="s">
        <v>23</v>
      </c>
      <c r="F314" t="s">
        <v>24</v>
      </c>
      <c r="G314">
        <v>48</v>
      </c>
      <c r="N314" s="2" t="s">
        <v>25</v>
      </c>
      <c r="P314" t="s">
        <v>26</v>
      </c>
      <c r="Q314" t="s">
        <v>31</v>
      </c>
      <c r="R314" t="s">
        <v>28</v>
      </c>
      <c r="S314" t="s">
        <v>29</v>
      </c>
      <c r="T314">
        <v>16</v>
      </c>
    </row>
    <row r="315" spans="1:20" x14ac:dyDescent="0.45">
      <c r="A315" t="s">
        <v>21</v>
      </c>
      <c r="B315">
        <v>2024</v>
      </c>
      <c r="C315" t="s">
        <v>60</v>
      </c>
      <c r="D315" s="1">
        <v>45606</v>
      </c>
      <c r="E315" t="s">
        <v>23</v>
      </c>
      <c r="F315" t="s">
        <v>24</v>
      </c>
      <c r="G315">
        <v>48</v>
      </c>
      <c r="N315" s="2" t="s">
        <v>25</v>
      </c>
      <c r="P315" t="s">
        <v>26</v>
      </c>
      <c r="Q315" t="s">
        <v>32</v>
      </c>
      <c r="R315" t="s">
        <v>28</v>
      </c>
      <c r="S315" t="s">
        <v>29</v>
      </c>
      <c r="T315">
        <v>33</v>
      </c>
    </row>
    <row r="316" spans="1:20" x14ac:dyDescent="0.45">
      <c r="A316" t="s">
        <v>21</v>
      </c>
      <c r="B316">
        <v>2024</v>
      </c>
      <c r="C316" t="s">
        <v>60</v>
      </c>
      <c r="D316" s="1">
        <v>45606</v>
      </c>
      <c r="E316" t="s">
        <v>23</v>
      </c>
      <c r="F316" t="s">
        <v>24</v>
      </c>
      <c r="G316">
        <v>48</v>
      </c>
      <c r="N316" s="2" t="s">
        <v>25</v>
      </c>
      <c r="P316" t="s">
        <v>26</v>
      </c>
      <c r="Q316" t="s">
        <v>33</v>
      </c>
      <c r="R316" t="s">
        <v>28</v>
      </c>
      <c r="S316" t="s">
        <v>29</v>
      </c>
      <c r="T316">
        <v>22</v>
      </c>
    </row>
    <row r="317" spans="1:20" x14ac:dyDescent="0.45">
      <c r="A317" t="s">
        <v>21</v>
      </c>
      <c r="B317">
        <v>2024</v>
      </c>
      <c r="C317" t="s">
        <v>53</v>
      </c>
      <c r="D317" s="1">
        <v>45613</v>
      </c>
      <c r="E317" t="s">
        <v>23</v>
      </c>
      <c r="F317" t="s">
        <v>24</v>
      </c>
      <c r="G317">
        <v>48</v>
      </c>
      <c r="N317" s="2" t="s">
        <v>25</v>
      </c>
      <c r="P317" t="s">
        <v>26</v>
      </c>
      <c r="Q317" t="s">
        <v>27</v>
      </c>
      <c r="R317" t="s">
        <v>28</v>
      </c>
      <c r="S317" t="s">
        <v>29</v>
      </c>
      <c r="T317">
        <v>2</v>
      </c>
    </row>
    <row r="318" spans="1:20" x14ac:dyDescent="0.45">
      <c r="A318" t="s">
        <v>21</v>
      </c>
      <c r="B318">
        <v>2024</v>
      </c>
      <c r="C318" t="s">
        <v>53</v>
      </c>
      <c r="D318" s="1">
        <v>45613</v>
      </c>
      <c r="E318" t="s">
        <v>23</v>
      </c>
      <c r="F318" t="s">
        <v>24</v>
      </c>
      <c r="G318">
        <v>48</v>
      </c>
      <c r="N318" s="2" t="s">
        <v>25</v>
      </c>
      <c r="P318" t="s">
        <v>26</v>
      </c>
      <c r="Q318" t="s">
        <v>30</v>
      </c>
      <c r="R318" t="s">
        <v>28</v>
      </c>
      <c r="S318" t="s">
        <v>29</v>
      </c>
      <c r="T318">
        <v>27</v>
      </c>
    </row>
    <row r="319" spans="1:20" x14ac:dyDescent="0.45">
      <c r="A319" t="s">
        <v>21</v>
      </c>
      <c r="B319">
        <v>2024</v>
      </c>
      <c r="C319" t="s">
        <v>53</v>
      </c>
      <c r="D319" s="1">
        <v>45613</v>
      </c>
      <c r="E319" t="s">
        <v>23</v>
      </c>
      <c r="F319" t="s">
        <v>24</v>
      </c>
      <c r="G319">
        <v>48</v>
      </c>
      <c r="N319" s="2" t="s">
        <v>25</v>
      </c>
      <c r="P319" t="s">
        <v>26</v>
      </c>
      <c r="Q319" t="s">
        <v>31</v>
      </c>
      <c r="R319" t="s">
        <v>28</v>
      </c>
      <c r="S319" t="s">
        <v>29</v>
      </c>
      <c r="T319">
        <v>16</v>
      </c>
    </row>
    <row r="320" spans="1:20" x14ac:dyDescent="0.45">
      <c r="A320" t="s">
        <v>21</v>
      </c>
      <c r="B320">
        <v>2024</v>
      </c>
      <c r="C320" t="s">
        <v>53</v>
      </c>
      <c r="D320" s="1">
        <v>45613</v>
      </c>
      <c r="E320" t="s">
        <v>23</v>
      </c>
      <c r="F320" t="s">
        <v>24</v>
      </c>
      <c r="G320">
        <v>48</v>
      </c>
      <c r="N320" s="2" t="s">
        <v>25</v>
      </c>
      <c r="P320" t="s">
        <v>26</v>
      </c>
      <c r="Q320" t="s">
        <v>32</v>
      </c>
      <c r="R320" t="s">
        <v>28</v>
      </c>
      <c r="S320" t="s">
        <v>29</v>
      </c>
      <c r="T320">
        <v>33</v>
      </c>
    </row>
    <row r="321" spans="1:20" x14ac:dyDescent="0.45">
      <c r="A321" t="s">
        <v>21</v>
      </c>
      <c r="B321">
        <v>2024</v>
      </c>
      <c r="C321" t="s">
        <v>53</v>
      </c>
      <c r="D321" s="1">
        <v>45613</v>
      </c>
      <c r="E321" t="s">
        <v>23</v>
      </c>
      <c r="F321" t="s">
        <v>24</v>
      </c>
      <c r="G321">
        <v>48</v>
      </c>
      <c r="N321" s="2" t="s">
        <v>25</v>
      </c>
      <c r="P321" t="s">
        <v>26</v>
      </c>
      <c r="Q321" t="s">
        <v>33</v>
      </c>
      <c r="R321" t="s">
        <v>28</v>
      </c>
      <c r="S321" t="s">
        <v>29</v>
      </c>
      <c r="T321">
        <v>22</v>
      </c>
    </row>
    <row r="322" spans="1:20" x14ac:dyDescent="0.45">
      <c r="A322" t="s">
        <v>21</v>
      </c>
      <c r="B322">
        <v>2024</v>
      </c>
      <c r="C322" t="s">
        <v>54</v>
      </c>
      <c r="D322" s="1">
        <v>45620</v>
      </c>
      <c r="E322" t="s">
        <v>23</v>
      </c>
      <c r="F322" t="s">
        <v>24</v>
      </c>
      <c r="G322">
        <v>48</v>
      </c>
      <c r="N322" s="2" t="s">
        <v>25</v>
      </c>
      <c r="P322" t="s">
        <v>26</v>
      </c>
      <c r="Q322" t="s">
        <v>27</v>
      </c>
      <c r="R322" t="s">
        <v>28</v>
      </c>
      <c r="S322" t="s">
        <v>29</v>
      </c>
      <c r="T322">
        <v>2</v>
      </c>
    </row>
    <row r="323" spans="1:20" x14ac:dyDescent="0.45">
      <c r="A323" t="s">
        <v>21</v>
      </c>
      <c r="B323">
        <v>2024</v>
      </c>
      <c r="C323" t="s">
        <v>54</v>
      </c>
      <c r="D323" s="1">
        <v>45620</v>
      </c>
      <c r="E323" t="s">
        <v>23</v>
      </c>
      <c r="F323" t="s">
        <v>24</v>
      </c>
      <c r="G323">
        <v>48</v>
      </c>
      <c r="N323" s="2" t="s">
        <v>25</v>
      </c>
      <c r="P323" t="s">
        <v>26</v>
      </c>
      <c r="Q323" t="s">
        <v>30</v>
      </c>
      <c r="R323" t="s">
        <v>28</v>
      </c>
      <c r="S323" t="s">
        <v>29</v>
      </c>
      <c r="T323">
        <v>27</v>
      </c>
    </row>
    <row r="324" spans="1:20" x14ac:dyDescent="0.45">
      <c r="A324" t="s">
        <v>21</v>
      </c>
      <c r="B324">
        <v>2024</v>
      </c>
      <c r="C324" t="s">
        <v>54</v>
      </c>
      <c r="D324" s="1">
        <v>45620</v>
      </c>
      <c r="E324" t="s">
        <v>23</v>
      </c>
      <c r="F324" t="s">
        <v>24</v>
      </c>
      <c r="G324">
        <v>48</v>
      </c>
      <c r="N324" s="2" t="s">
        <v>25</v>
      </c>
      <c r="P324" t="s">
        <v>26</v>
      </c>
      <c r="Q324" t="s">
        <v>31</v>
      </c>
      <c r="R324" t="s">
        <v>28</v>
      </c>
      <c r="S324" t="s">
        <v>29</v>
      </c>
      <c r="T324">
        <v>16</v>
      </c>
    </row>
    <row r="325" spans="1:20" x14ac:dyDescent="0.45">
      <c r="A325" t="s">
        <v>21</v>
      </c>
      <c r="B325">
        <v>2024</v>
      </c>
      <c r="C325" t="s">
        <v>54</v>
      </c>
      <c r="D325" s="1">
        <v>45620</v>
      </c>
      <c r="E325" t="s">
        <v>23</v>
      </c>
      <c r="F325" t="s">
        <v>24</v>
      </c>
      <c r="G325">
        <v>48</v>
      </c>
      <c r="N325" s="2" t="s">
        <v>25</v>
      </c>
      <c r="P325" t="s">
        <v>26</v>
      </c>
      <c r="Q325" t="s">
        <v>32</v>
      </c>
      <c r="R325" t="s">
        <v>28</v>
      </c>
      <c r="S325" t="s">
        <v>29</v>
      </c>
      <c r="T325">
        <v>33</v>
      </c>
    </row>
    <row r="326" spans="1:20" x14ac:dyDescent="0.45">
      <c r="A326" t="s">
        <v>21</v>
      </c>
      <c r="B326">
        <v>2024</v>
      </c>
      <c r="C326" t="s">
        <v>54</v>
      </c>
      <c r="D326" s="1">
        <v>45620</v>
      </c>
      <c r="E326" t="s">
        <v>23</v>
      </c>
      <c r="F326" t="s">
        <v>24</v>
      </c>
      <c r="G326">
        <v>48</v>
      </c>
      <c r="N326" s="2" t="s">
        <v>25</v>
      </c>
      <c r="P326" t="s">
        <v>26</v>
      </c>
      <c r="Q326" t="s">
        <v>33</v>
      </c>
      <c r="R326" t="s">
        <v>28</v>
      </c>
      <c r="S326" t="s">
        <v>29</v>
      </c>
      <c r="T326">
        <v>22</v>
      </c>
    </row>
    <row r="327" spans="1:20" x14ac:dyDescent="0.45">
      <c r="A327" t="s">
        <v>21</v>
      </c>
      <c r="B327">
        <v>2023</v>
      </c>
      <c r="C327" t="s">
        <v>50</v>
      </c>
      <c r="D327" s="1">
        <v>45074</v>
      </c>
      <c r="E327" t="s">
        <v>23</v>
      </c>
      <c r="F327" t="s">
        <v>24</v>
      </c>
      <c r="G327">
        <v>48</v>
      </c>
      <c r="N327" s="2" t="s">
        <v>25</v>
      </c>
      <c r="P327" t="s">
        <v>26</v>
      </c>
      <c r="Q327" t="s">
        <v>27</v>
      </c>
      <c r="R327" t="s">
        <v>28</v>
      </c>
      <c r="S327" t="s">
        <v>29</v>
      </c>
      <c r="T327">
        <v>4</v>
      </c>
    </row>
    <row r="328" spans="1:20" x14ac:dyDescent="0.45">
      <c r="A328" t="s">
        <v>21</v>
      </c>
      <c r="B328">
        <v>2023</v>
      </c>
      <c r="C328" t="s">
        <v>50</v>
      </c>
      <c r="D328" s="1">
        <v>45074</v>
      </c>
      <c r="E328" t="s">
        <v>23</v>
      </c>
      <c r="F328" t="s">
        <v>24</v>
      </c>
      <c r="G328">
        <v>48</v>
      </c>
      <c r="N328" s="2" t="s">
        <v>25</v>
      </c>
      <c r="P328" t="s">
        <v>26</v>
      </c>
      <c r="Q328" t="s">
        <v>30</v>
      </c>
      <c r="R328" t="s">
        <v>28</v>
      </c>
      <c r="S328" t="s">
        <v>29</v>
      </c>
      <c r="T328">
        <v>51</v>
      </c>
    </row>
    <row r="329" spans="1:20" x14ac:dyDescent="0.45">
      <c r="A329" t="s">
        <v>21</v>
      </c>
      <c r="B329">
        <v>2023</v>
      </c>
      <c r="C329" t="s">
        <v>50</v>
      </c>
      <c r="D329" s="1">
        <v>45074</v>
      </c>
      <c r="E329" t="s">
        <v>23</v>
      </c>
      <c r="F329" t="s">
        <v>24</v>
      </c>
      <c r="G329">
        <v>48</v>
      </c>
      <c r="N329" s="2" t="s">
        <v>25</v>
      </c>
      <c r="P329" t="s">
        <v>26</v>
      </c>
      <c r="Q329" t="s">
        <v>31</v>
      </c>
      <c r="R329" t="s">
        <v>28</v>
      </c>
      <c r="S329" t="s">
        <v>29</v>
      </c>
      <c r="T329">
        <v>24</v>
      </c>
    </row>
    <row r="330" spans="1:20" x14ac:dyDescent="0.45">
      <c r="A330" t="s">
        <v>21</v>
      </c>
      <c r="B330">
        <v>2023</v>
      </c>
      <c r="C330" t="s">
        <v>50</v>
      </c>
      <c r="D330" s="1">
        <v>45074</v>
      </c>
      <c r="E330" t="s">
        <v>23</v>
      </c>
      <c r="F330" t="s">
        <v>24</v>
      </c>
      <c r="G330">
        <v>48</v>
      </c>
      <c r="N330" s="2" t="s">
        <v>25</v>
      </c>
      <c r="P330" t="s">
        <v>26</v>
      </c>
      <c r="Q330" t="s">
        <v>32</v>
      </c>
      <c r="R330" t="s">
        <v>28</v>
      </c>
      <c r="S330" t="s">
        <v>29</v>
      </c>
      <c r="T330">
        <v>19</v>
      </c>
    </row>
    <row r="331" spans="1:20" x14ac:dyDescent="0.45">
      <c r="A331" t="s">
        <v>21</v>
      </c>
      <c r="B331">
        <v>2023</v>
      </c>
      <c r="C331" t="s">
        <v>50</v>
      </c>
      <c r="D331" s="1">
        <v>45074</v>
      </c>
      <c r="E331" t="s">
        <v>23</v>
      </c>
      <c r="F331" t="s">
        <v>24</v>
      </c>
      <c r="G331">
        <v>48</v>
      </c>
      <c r="N331" s="2" t="s">
        <v>25</v>
      </c>
      <c r="P331" t="s">
        <v>26</v>
      </c>
      <c r="Q331" t="s">
        <v>33</v>
      </c>
      <c r="R331" t="s">
        <v>28</v>
      </c>
      <c r="S331" t="s">
        <v>29</v>
      </c>
      <c r="T331">
        <v>2</v>
      </c>
    </row>
    <row r="332" spans="1:20" x14ac:dyDescent="0.45">
      <c r="A332" t="s">
        <v>21</v>
      </c>
      <c r="B332">
        <v>2023</v>
      </c>
      <c r="C332" t="s">
        <v>51</v>
      </c>
      <c r="D332" s="1">
        <v>45081</v>
      </c>
      <c r="E332" t="s">
        <v>23</v>
      </c>
      <c r="F332" t="s">
        <v>24</v>
      </c>
      <c r="G332">
        <v>48</v>
      </c>
      <c r="N332" s="2" t="s">
        <v>25</v>
      </c>
      <c r="P332" t="s">
        <v>26</v>
      </c>
      <c r="Q332" t="s">
        <v>27</v>
      </c>
      <c r="R332" t="s">
        <v>28</v>
      </c>
      <c r="S332" t="s">
        <v>29</v>
      </c>
      <c r="T332">
        <v>6</v>
      </c>
    </row>
    <row r="333" spans="1:20" x14ac:dyDescent="0.45">
      <c r="A333" t="s">
        <v>21</v>
      </c>
      <c r="B333">
        <v>2023</v>
      </c>
      <c r="C333" t="s">
        <v>51</v>
      </c>
      <c r="D333" s="1">
        <v>45081</v>
      </c>
      <c r="E333" t="s">
        <v>23</v>
      </c>
      <c r="F333" t="s">
        <v>24</v>
      </c>
      <c r="G333">
        <v>48</v>
      </c>
      <c r="N333" s="2" t="s">
        <v>25</v>
      </c>
      <c r="P333" t="s">
        <v>26</v>
      </c>
      <c r="Q333" t="s">
        <v>30</v>
      </c>
      <c r="R333" t="s">
        <v>28</v>
      </c>
      <c r="S333" t="s">
        <v>29</v>
      </c>
      <c r="T333">
        <v>49</v>
      </c>
    </row>
    <row r="334" spans="1:20" x14ac:dyDescent="0.45">
      <c r="A334" t="s">
        <v>21</v>
      </c>
      <c r="B334">
        <v>2023</v>
      </c>
      <c r="C334" t="s">
        <v>51</v>
      </c>
      <c r="D334" s="1">
        <v>45081</v>
      </c>
      <c r="E334" t="s">
        <v>23</v>
      </c>
      <c r="F334" t="s">
        <v>24</v>
      </c>
      <c r="G334">
        <v>48</v>
      </c>
      <c r="N334" s="2" t="s">
        <v>25</v>
      </c>
      <c r="P334" t="s">
        <v>26</v>
      </c>
      <c r="Q334" t="s">
        <v>31</v>
      </c>
      <c r="R334" t="s">
        <v>28</v>
      </c>
      <c r="S334" t="s">
        <v>29</v>
      </c>
      <c r="T334">
        <v>25</v>
      </c>
    </row>
    <row r="335" spans="1:20" x14ac:dyDescent="0.45">
      <c r="A335" t="s">
        <v>21</v>
      </c>
      <c r="B335">
        <v>2023</v>
      </c>
      <c r="C335" t="s">
        <v>51</v>
      </c>
      <c r="D335" s="1">
        <v>45081</v>
      </c>
      <c r="E335" t="s">
        <v>23</v>
      </c>
      <c r="F335" t="s">
        <v>24</v>
      </c>
      <c r="G335">
        <v>48</v>
      </c>
      <c r="N335" s="2" t="s">
        <v>25</v>
      </c>
      <c r="P335" t="s">
        <v>26</v>
      </c>
      <c r="Q335" t="s">
        <v>32</v>
      </c>
      <c r="R335" t="s">
        <v>28</v>
      </c>
      <c r="S335" t="s">
        <v>29</v>
      </c>
      <c r="T335">
        <v>18</v>
      </c>
    </row>
    <row r="336" spans="1:20" x14ac:dyDescent="0.45">
      <c r="A336" t="s">
        <v>21</v>
      </c>
      <c r="B336">
        <v>2023</v>
      </c>
      <c r="C336" t="s">
        <v>51</v>
      </c>
      <c r="D336" s="1">
        <v>45081</v>
      </c>
      <c r="E336" t="s">
        <v>23</v>
      </c>
      <c r="F336" t="s">
        <v>24</v>
      </c>
      <c r="G336">
        <v>48</v>
      </c>
      <c r="N336" s="2" t="s">
        <v>25</v>
      </c>
      <c r="P336" t="s">
        <v>26</v>
      </c>
      <c r="Q336" t="s">
        <v>33</v>
      </c>
      <c r="R336" t="s">
        <v>28</v>
      </c>
      <c r="S336" t="s">
        <v>29</v>
      </c>
      <c r="T336">
        <v>2</v>
      </c>
    </row>
    <row r="337" spans="1:20" x14ac:dyDescent="0.45">
      <c r="A337" t="s">
        <v>21</v>
      </c>
      <c r="B337">
        <v>2023</v>
      </c>
      <c r="C337" t="s">
        <v>22</v>
      </c>
      <c r="D337" s="1">
        <v>45088</v>
      </c>
      <c r="E337" t="s">
        <v>23</v>
      </c>
      <c r="F337" t="s">
        <v>24</v>
      </c>
      <c r="G337">
        <v>48</v>
      </c>
      <c r="N337" s="2" t="s">
        <v>25</v>
      </c>
      <c r="P337" t="s">
        <v>26</v>
      </c>
      <c r="Q337" t="s">
        <v>27</v>
      </c>
      <c r="R337" t="s">
        <v>28</v>
      </c>
      <c r="S337" t="s">
        <v>29</v>
      </c>
      <c r="T337">
        <v>8</v>
      </c>
    </row>
    <row r="338" spans="1:20" x14ac:dyDescent="0.45">
      <c r="A338" t="s">
        <v>21</v>
      </c>
      <c r="B338">
        <v>2023</v>
      </c>
      <c r="C338" t="s">
        <v>22</v>
      </c>
      <c r="D338" s="1">
        <v>45088</v>
      </c>
      <c r="E338" t="s">
        <v>23</v>
      </c>
      <c r="F338" t="s">
        <v>24</v>
      </c>
      <c r="G338">
        <v>48</v>
      </c>
      <c r="N338" s="2" t="s">
        <v>25</v>
      </c>
      <c r="P338" t="s">
        <v>26</v>
      </c>
      <c r="Q338" t="s">
        <v>30</v>
      </c>
      <c r="R338" t="s">
        <v>28</v>
      </c>
      <c r="S338" t="s">
        <v>29</v>
      </c>
      <c r="T338">
        <v>47</v>
      </c>
    </row>
    <row r="339" spans="1:20" x14ac:dyDescent="0.45">
      <c r="A339" t="s">
        <v>21</v>
      </c>
      <c r="B339">
        <v>2023</v>
      </c>
      <c r="C339" t="s">
        <v>22</v>
      </c>
      <c r="D339" s="1">
        <v>45088</v>
      </c>
      <c r="E339" t="s">
        <v>23</v>
      </c>
      <c r="F339" t="s">
        <v>24</v>
      </c>
      <c r="G339">
        <v>48</v>
      </c>
      <c r="N339" s="2" t="s">
        <v>25</v>
      </c>
      <c r="P339" t="s">
        <v>26</v>
      </c>
      <c r="Q339" t="s">
        <v>31</v>
      </c>
      <c r="R339" t="s">
        <v>28</v>
      </c>
      <c r="S339" t="s">
        <v>29</v>
      </c>
      <c r="T339">
        <v>22</v>
      </c>
    </row>
    <row r="340" spans="1:20" x14ac:dyDescent="0.45">
      <c r="A340" t="s">
        <v>21</v>
      </c>
      <c r="B340">
        <v>2023</v>
      </c>
      <c r="C340" t="s">
        <v>22</v>
      </c>
      <c r="D340" s="1">
        <v>45088</v>
      </c>
      <c r="E340" t="s">
        <v>23</v>
      </c>
      <c r="F340" t="s">
        <v>24</v>
      </c>
      <c r="G340">
        <v>48</v>
      </c>
      <c r="N340" s="2" t="s">
        <v>25</v>
      </c>
      <c r="P340" t="s">
        <v>26</v>
      </c>
      <c r="Q340" t="s">
        <v>32</v>
      </c>
      <c r="R340" t="s">
        <v>28</v>
      </c>
      <c r="S340" t="s">
        <v>29</v>
      </c>
      <c r="T340">
        <v>20</v>
      </c>
    </row>
    <row r="341" spans="1:20" x14ac:dyDescent="0.45">
      <c r="A341" t="s">
        <v>21</v>
      </c>
      <c r="B341">
        <v>2023</v>
      </c>
      <c r="C341" t="s">
        <v>22</v>
      </c>
      <c r="D341" s="1">
        <v>45088</v>
      </c>
      <c r="E341" t="s">
        <v>23</v>
      </c>
      <c r="F341" t="s">
        <v>24</v>
      </c>
      <c r="G341">
        <v>48</v>
      </c>
      <c r="N341" s="2" t="s">
        <v>25</v>
      </c>
      <c r="P341" t="s">
        <v>26</v>
      </c>
      <c r="Q341" t="s">
        <v>33</v>
      </c>
      <c r="R341" t="s">
        <v>28</v>
      </c>
      <c r="S341" t="s">
        <v>29</v>
      </c>
      <c r="T341">
        <v>3</v>
      </c>
    </row>
    <row r="342" spans="1:20" x14ac:dyDescent="0.45">
      <c r="A342" t="s">
        <v>21</v>
      </c>
      <c r="B342">
        <v>2023</v>
      </c>
      <c r="C342" t="s">
        <v>34</v>
      </c>
      <c r="D342" s="1">
        <v>45095</v>
      </c>
      <c r="E342" t="s">
        <v>23</v>
      </c>
      <c r="F342" t="s">
        <v>24</v>
      </c>
      <c r="G342">
        <v>48</v>
      </c>
      <c r="N342" s="2" t="s">
        <v>25</v>
      </c>
      <c r="P342" t="s">
        <v>26</v>
      </c>
      <c r="Q342" t="s">
        <v>27</v>
      </c>
      <c r="R342" t="s">
        <v>28</v>
      </c>
      <c r="S342" t="s">
        <v>29</v>
      </c>
      <c r="T342">
        <v>4</v>
      </c>
    </row>
    <row r="343" spans="1:20" x14ac:dyDescent="0.45">
      <c r="A343" t="s">
        <v>21</v>
      </c>
      <c r="B343">
        <v>2023</v>
      </c>
      <c r="C343" t="s">
        <v>34</v>
      </c>
      <c r="D343" s="1">
        <v>45095</v>
      </c>
      <c r="E343" t="s">
        <v>23</v>
      </c>
      <c r="F343" t="s">
        <v>24</v>
      </c>
      <c r="G343">
        <v>48</v>
      </c>
      <c r="N343" s="2" t="s">
        <v>25</v>
      </c>
      <c r="P343" t="s">
        <v>26</v>
      </c>
      <c r="Q343" t="s">
        <v>30</v>
      </c>
      <c r="R343" t="s">
        <v>28</v>
      </c>
      <c r="S343" t="s">
        <v>29</v>
      </c>
      <c r="T343">
        <v>38</v>
      </c>
    </row>
    <row r="344" spans="1:20" x14ac:dyDescent="0.45">
      <c r="A344" t="s">
        <v>21</v>
      </c>
      <c r="B344">
        <v>2023</v>
      </c>
      <c r="C344" t="s">
        <v>34</v>
      </c>
      <c r="D344" s="1">
        <v>45095</v>
      </c>
      <c r="E344" t="s">
        <v>23</v>
      </c>
      <c r="F344" t="s">
        <v>24</v>
      </c>
      <c r="G344">
        <v>48</v>
      </c>
      <c r="N344" s="2" t="s">
        <v>25</v>
      </c>
      <c r="P344" t="s">
        <v>26</v>
      </c>
      <c r="Q344" t="s">
        <v>31</v>
      </c>
      <c r="R344" t="s">
        <v>28</v>
      </c>
      <c r="S344" t="s">
        <v>29</v>
      </c>
      <c r="T344">
        <v>26</v>
      </c>
    </row>
    <row r="345" spans="1:20" x14ac:dyDescent="0.45">
      <c r="A345" t="s">
        <v>21</v>
      </c>
      <c r="B345">
        <v>2023</v>
      </c>
      <c r="C345" t="s">
        <v>34</v>
      </c>
      <c r="D345" s="1">
        <v>45095</v>
      </c>
      <c r="E345" t="s">
        <v>23</v>
      </c>
      <c r="F345" t="s">
        <v>24</v>
      </c>
      <c r="G345">
        <v>48</v>
      </c>
      <c r="N345" s="2" t="s">
        <v>25</v>
      </c>
      <c r="P345" t="s">
        <v>26</v>
      </c>
      <c r="Q345" t="s">
        <v>32</v>
      </c>
      <c r="R345" t="s">
        <v>28</v>
      </c>
      <c r="S345" t="s">
        <v>29</v>
      </c>
      <c r="T345">
        <v>20</v>
      </c>
    </row>
    <row r="346" spans="1:20" x14ac:dyDescent="0.45">
      <c r="A346" t="s">
        <v>21</v>
      </c>
      <c r="B346">
        <v>2023</v>
      </c>
      <c r="C346" t="s">
        <v>34</v>
      </c>
      <c r="D346" s="1">
        <v>45095</v>
      </c>
      <c r="E346" t="s">
        <v>23</v>
      </c>
      <c r="F346" t="s">
        <v>24</v>
      </c>
      <c r="G346">
        <v>48</v>
      </c>
      <c r="N346" s="2" t="s">
        <v>25</v>
      </c>
      <c r="P346" t="s">
        <v>26</v>
      </c>
      <c r="Q346" t="s">
        <v>33</v>
      </c>
      <c r="R346" t="s">
        <v>28</v>
      </c>
      <c r="S346" t="s">
        <v>29</v>
      </c>
      <c r="T346">
        <v>12</v>
      </c>
    </row>
    <row r="347" spans="1:20" x14ac:dyDescent="0.45">
      <c r="A347" t="s">
        <v>21</v>
      </c>
      <c r="B347">
        <v>2023</v>
      </c>
      <c r="C347" t="s">
        <v>35</v>
      </c>
      <c r="D347" s="1">
        <v>45102</v>
      </c>
      <c r="E347" t="s">
        <v>23</v>
      </c>
      <c r="F347" t="s">
        <v>24</v>
      </c>
      <c r="G347">
        <v>48</v>
      </c>
      <c r="N347" s="2" t="s">
        <v>25</v>
      </c>
      <c r="P347" t="s">
        <v>26</v>
      </c>
      <c r="Q347" t="s">
        <v>27</v>
      </c>
      <c r="R347" t="s">
        <v>28</v>
      </c>
      <c r="S347" t="s">
        <v>29</v>
      </c>
      <c r="T347">
        <v>4</v>
      </c>
    </row>
    <row r="348" spans="1:20" x14ac:dyDescent="0.45">
      <c r="A348" t="s">
        <v>21</v>
      </c>
      <c r="B348">
        <v>2023</v>
      </c>
      <c r="C348" t="s">
        <v>35</v>
      </c>
      <c r="D348" s="1">
        <v>45102</v>
      </c>
      <c r="E348" t="s">
        <v>23</v>
      </c>
      <c r="F348" t="s">
        <v>24</v>
      </c>
      <c r="G348">
        <v>48</v>
      </c>
      <c r="N348" s="2" t="s">
        <v>25</v>
      </c>
      <c r="P348" t="s">
        <v>26</v>
      </c>
      <c r="Q348" t="s">
        <v>30</v>
      </c>
      <c r="R348" t="s">
        <v>28</v>
      </c>
      <c r="S348" t="s">
        <v>29</v>
      </c>
      <c r="T348">
        <v>38</v>
      </c>
    </row>
    <row r="349" spans="1:20" x14ac:dyDescent="0.45">
      <c r="A349" t="s">
        <v>21</v>
      </c>
      <c r="B349">
        <v>2023</v>
      </c>
      <c r="C349" t="s">
        <v>35</v>
      </c>
      <c r="D349" s="1">
        <v>45102</v>
      </c>
      <c r="E349" t="s">
        <v>23</v>
      </c>
      <c r="F349" t="s">
        <v>24</v>
      </c>
      <c r="G349">
        <v>48</v>
      </c>
      <c r="N349" s="2" t="s">
        <v>25</v>
      </c>
      <c r="P349" t="s">
        <v>26</v>
      </c>
      <c r="Q349" t="s">
        <v>31</v>
      </c>
      <c r="R349" t="s">
        <v>28</v>
      </c>
      <c r="S349" t="s">
        <v>29</v>
      </c>
      <c r="T349">
        <v>28</v>
      </c>
    </row>
    <row r="350" spans="1:20" x14ac:dyDescent="0.45">
      <c r="A350" t="s">
        <v>21</v>
      </c>
      <c r="B350">
        <v>2023</v>
      </c>
      <c r="C350" t="s">
        <v>35</v>
      </c>
      <c r="D350" s="1">
        <v>45102</v>
      </c>
      <c r="E350" t="s">
        <v>23</v>
      </c>
      <c r="F350" t="s">
        <v>24</v>
      </c>
      <c r="G350">
        <v>48</v>
      </c>
      <c r="N350" s="2" t="s">
        <v>25</v>
      </c>
      <c r="P350" t="s">
        <v>26</v>
      </c>
      <c r="Q350" t="s">
        <v>32</v>
      </c>
      <c r="R350" t="s">
        <v>28</v>
      </c>
      <c r="S350" t="s">
        <v>29</v>
      </c>
      <c r="T350">
        <v>19</v>
      </c>
    </row>
    <row r="351" spans="1:20" x14ac:dyDescent="0.45">
      <c r="A351" t="s">
        <v>21</v>
      </c>
      <c r="B351">
        <v>2023</v>
      </c>
      <c r="C351" t="s">
        <v>35</v>
      </c>
      <c r="D351" s="1">
        <v>45102</v>
      </c>
      <c r="E351" t="s">
        <v>23</v>
      </c>
      <c r="F351" t="s">
        <v>24</v>
      </c>
      <c r="G351">
        <v>48</v>
      </c>
      <c r="N351" s="2" t="s">
        <v>25</v>
      </c>
      <c r="P351" t="s">
        <v>26</v>
      </c>
      <c r="Q351" t="s">
        <v>33</v>
      </c>
      <c r="R351" t="s">
        <v>28</v>
      </c>
      <c r="S351" t="s">
        <v>29</v>
      </c>
      <c r="T351">
        <v>11</v>
      </c>
    </row>
    <row r="352" spans="1:20" x14ac:dyDescent="0.45">
      <c r="A352" t="s">
        <v>21</v>
      </c>
      <c r="B352">
        <v>2023</v>
      </c>
      <c r="C352" t="s">
        <v>36</v>
      </c>
      <c r="D352" s="1">
        <v>45109</v>
      </c>
      <c r="E352" t="s">
        <v>23</v>
      </c>
      <c r="F352" t="s">
        <v>24</v>
      </c>
      <c r="G352">
        <v>48</v>
      </c>
      <c r="N352" s="2" t="s">
        <v>25</v>
      </c>
      <c r="P352" t="s">
        <v>26</v>
      </c>
      <c r="Q352" t="s">
        <v>27</v>
      </c>
      <c r="R352" t="s">
        <v>28</v>
      </c>
      <c r="S352" t="s">
        <v>29</v>
      </c>
      <c r="T352">
        <v>5</v>
      </c>
    </row>
    <row r="353" spans="1:20" x14ac:dyDescent="0.45">
      <c r="A353" t="s">
        <v>21</v>
      </c>
      <c r="B353">
        <v>2023</v>
      </c>
      <c r="C353" t="s">
        <v>36</v>
      </c>
      <c r="D353" s="1">
        <v>45109</v>
      </c>
      <c r="E353" t="s">
        <v>23</v>
      </c>
      <c r="F353" t="s">
        <v>24</v>
      </c>
      <c r="G353">
        <v>48</v>
      </c>
      <c r="N353" s="2" t="s">
        <v>25</v>
      </c>
      <c r="P353" t="s">
        <v>26</v>
      </c>
      <c r="Q353" t="s">
        <v>30</v>
      </c>
      <c r="R353" t="s">
        <v>28</v>
      </c>
      <c r="S353" t="s">
        <v>29</v>
      </c>
      <c r="T353">
        <v>34</v>
      </c>
    </row>
    <row r="354" spans="1:20" x14ac:dyDescent="0.45">
      <c r="A354" t="s">
        <v>21</v>
      </c>
      <c r="B354">
        <v>2023</v>
      </c>
      <c r="C354" t="s">
        <v>36</v>
      </c>
      <c r="D354" s="1">
        <v>45109</v>
      </c>
      <c r="E354" t="s">
        <v>23</v>
      </c>
      <c r="F354" t="s">
        <v>24</v>
      </c>
      <c r="G354">
        <v>48</v>
      </c>
      <c r="N354" s="2" t="s">
        <v>25</v>
      </c>
      <c r="P354" t="s">
        <v>26</v>
      </c>
      <c r="Q354" t="s">
        <v>31</v>
      </c>
      <c r="R354" t="s">
        <v>28</v>
      </c>
      <c r="S354" t="s">
        <v>29</v>
      </c>
      <c r="T354">
        <v>29</v>
      </c>
    </row>
    <row r="355" spans="1:20" x14ac:dyDescent="0.45">
      <c r="A355" t="s">
        <v>21</v>
      </c>
      <c r="B355">
        <v>2023</v>
      </c>
      <c r="C355" t="s">
        <v>36</v>
      </c>
      <c r="D355" s="1">
        <v>45109</v>
      </c>
      <c r="E355" t="s">
        <v>23</v>
      </c>
      <c r="F355" t="s">
        <v>24</v>
      </c>
      <c r="G355">
        <v>48</v>
      </c>
      <c r="N355" s="2" t="s">
        <v>25</v>
      </c>
      <c r="P355" t="s">
        <v>26</v>
      </c>
      <c r="Q355" t="s">
        <v>32</v>
      </c>
      <c r="R355" t="s">
        <v>28</v>
      </c>
      <c r="S355" t="s">
        <v>29</v>
      </c>
      <c r="T355">
        <v>21</v>
      </c>
    </row>
    <row r="356" spans="1:20" x14ac:dyDescent="0.45">
      <c r="A356" t="s">
        <v>21</v>
      </c>
      <c r="B356">
        <v>2023</v>
      </c>
      <c r="C356" t="s">
        <v>36</v>
      </c>
      <c r="D356" s="1">
        <v>45109</v>
      </c>
      <c r="E356" t="s">
        <v>23</v>
      </c>
      <c r="F356" t="s">
        <v>24</v>
      </c>
      <c r="G356">
        <v>48</v>
      </c>
      <c r="N356" s="2" t="s">
        <v>25</v>
      </c>
      <c r="P356" t="s">
        <v>26</v>
      </c>
      <c r="Q356" t="s">
        <v>33</v>
      </c>
      <c r="R356" t="s">
        <v>28</v>
      </c>
      <c r="S356" t="s">
        <v>29</v>
      </c>
      <c r="T356">
        <v>11</v>
      </c>
    </row>
    <row r="357" spans="1:20" x14ac:dyDescent="0.45">
      <c r="A357" t="s">
        <v>21</v>
      </c>
      <c r="B357">
        <v>2023</v>
      </c>
      <c r="C357" t="s">
        <v>37</v>
      </c>
      <c r="D357" s="1">
        <v>45116</v>
      </c>
      <c r="E357" t="s">
        <v>23</v>
      </c>
      <c r="F357" t="s">
        <v>24</v>
      </c>
      <c r="G357">
        <v>48</v>
      </c>
      <c r="N357" s="2" t="s">
        <v>25</v>
      </c>
      <c r="P357" t="s">
        <v>26</v>
      </c>
      <c r="Q357" t="s">
        <v>27</v>
      </c>
      <c r="R357" t="s">
        <v>28</v>
      </c>
      <c r="S357" t="s">
        <v>29</v>
      </c>
      <c r="T357">
        <v>5</v>
      </c>
    </row>
    <row r="358" spans="1:20" x14ac:dyDescent="0.45">
      <c r="A358" t="s">
        <v>21</v>
      </c>
      <c r="B358">
        <v>2023</v>
      </c>
      <c r="C358" t="s">
        <v>37</v>
      </c>
      <c r="D358" s="1">
        <v>45116</v>
      </c>
      <c r="E358" t="s">
        <v>23</v>
      </c>
      <c r="F358" t="s">
        <v>24</v>
      </c>
      <c r="G358">
        <v>48</v>
      </c>
      <c r="N358" s="2" t="s">
        <v>25</v>
      </c>
      <c r="P358" t="s">
        <v>26</v>
      </c>
      <c r="Q358" t="s">
        <v>30</v>
      </c>
      <c r="R358" t="s">
        <v>28</v>
      </c>
      <c r="S358" t="s">
        <v>29</v>
      </c>
      <c r="T358">
        <v>27</v>
      </c>
    </row>
    <row r="359" spans="1:20" x14ac:dyDescent="0.45">
      <c r="A359" t="s">
        <v>21</v>
      </c>
      <c r="B359">
        <v>2023</v>
      </c>
      <c r="C359" t="s">
        <v>37</v>
      </c>
      <c r="D359" s="1">
        <v>45116</v>
      </c>
      <c r="E359" t="s">
        <v>23</v>
      </c>
      <c r="F359" t="s">
        <v>24</v>
      </c>
      <c r="G359">
        <v>48</v>
      </c>
      <c r="N359" s="2" t="s">
        <v>25</v>
      </c>
      <c r="P359" t="s">
        <v>26</v>
      </c>
      <c r="Q359" t="s">
        <v>31</v>
      </c>
      <c r="R359" t="s">
        <v>28</v>
      </c>
      <c r="S359" t="s">
        <v>29</v>
      </c>
      <c r="T359">
        <v>28</v>
      </c>
    </row>
    <row r="360" spans="1:20" x14ac:dyDescent="0.45">
      <c r="A360" t="s">
        <v>21</v>
      </c>
      <c r="B360">
        <v>2023</v>
      </c>
      <c r="C360" t="s">
        <v>37</v>
      </c>
      <c r="D360" s="1">
        <v>45116</v>
      </c>
      <c r="E360" t="s">
        <v>23</v>
      </c>
      <c r="F360" t="s">
        <v>24</v>
      </c>
      <c r="G360">
        <v>48</v>
      </c>
      <c r="N360" s="2" t="s">
        <v>25</v>
      </c>
      <c r="P360" t="s">
        <v>26</v>
      </c>
      <c r="Q360" t="s">
        <v>32</v>
      </c>
      <c r="R360" t="s">
        <v>28</v>
      </c>
      <c r="S360" t="s">
        <v>29</v>
      </c>
      <c r="T360">
        <v>25</v>
      </c>
    </row>
    <row r="361" spans="1:20" x14ac:dyDescent="0.45">
      <c r="A361" t="s">
        <v>21</v>
      </c>
      <c r="B361">
        <v>2023</v>
      </c>
      <c r="C361" t="s">
        <v>37</v>
      </c>
      <c r="D361" s="1">
        <v>45116</v>
      </c>
      <c r="E361" t="s">
        <v>23</v>
      </c>
      <c r="F361" t="s">
        <v>24</v>
      </c>
      <c r="G361">
        <v>48</v>
      </c>
      <c r="N361" s="2" t="s">
        <v>25</v>
      </c>
      <c r="P361" t="s">
        <v>26</v>
      </c>
      <c r="Q361" t="s">
        <v>33</v>
      </c>
      <c r="R361" t="s">
        <v>28</v>
      </c>
      <c r="S361" t="s">
        <v>29</v>
      </c>
      <c r="T361">
        <v>15</v>
      </c>
    </row>
    <row r="362" spans="1:20" x14ac:dyDescent="0.45">
      <c r="A362" t="s">
        <v>21</v>
      </c>
      <c r="B362">
        <v>2023</v>
      </c>
      <c r="C362" t="s">
        <v>38</v>
      </c>
      <c r="D362" s="1">
        <v>45123</v>
      </c>
      <c r="E362" t="s">
        <v>23</v>
      </c>
      <c r="F362" t="s">
        <v>24</v>
      </c>
      <c r="G362">
        <v>48</v>
      </c>
      <c r="N362" s="2" t="s">
        <v>25</v>
      </c>
      <c r="P362" t="s">
        <v>26</v>
      </c>
      <c r="Q362" t="s">
        <v>27</v>
      </c>
      <c r="R362" t="s">
        <v>28</v>
      </c>
      <c r="S362" t="s">
        <v>29</v>
      </c>
      <c r="T362">
        <v>4</v>
      </c>
    </row>
    <row r="363" spans="1:20" x14ac:dyDescent="0.45">
      <c r="A363" t="s">
        <v>21</v>
      </c>
      <c r="B363">
        <v>2023</v>
      </c>
      <c r="C363" t="s">
        <v>38</v>
      </c>
      <c r="D363" s="1">
        <v>45123</v>
      </c>
      <c r="E363" t="s">
        <v>23</v>
      </c>
      <c r="F363" t="s">
        <v>24</v>
      </c>
      <c r="G363">
        <v>48</v>
      </c>
      <c r="N363" s="2" t="s">
        <v>25</v>
      </c>
      <c r="P363" t="s">
        <v>26</v>
      </c>
      <c r="Q363" t="s">
        <v>30</v>
      </c>
      <c r="R363" t="s">
        <v>28</v>
      </c>
      <c r="S363" t="s">
        <v>29</v>
      </c>
      <c r="T363">
        <v>29</v>
      </c>
    </row>
    <row r="364" spans="1:20" x14ac:dyDescent="0.45">
      <c r="A364" t="s">
        <v>21</v>
      </c>
      <c r="B364">
        <v>2023</v>
      </c>
      <c r="C364" t="s">
        <v>38</v>
      </c>
      <c r="D364" s="1">
        <v>45123</v>
      </c>
      <c r="E364" t="s">
        <v>23</v>
      </c>
      <c r="F364" t="s">
        <v>24</v>
      </c>
      <c r="G364">
        <v>48</v>
      </c>
      <c r="N364" s="2" t="s">
        <v>25</v>
      </c>
      <c r="P364" t="s">
        <v>26</v>
      </c>
      <c r="Q364" t="s">
        <v>31</v>
      </c>
      <c r="R364" t="s">
        <v>28</v>
      </c>
      <c r="S364" t="s">
        <v>29</v>
      </c>
      <c r="T364">
        <v>22</v>
      </c>
    </row>
    <row r="365" spans="1:20" x14ac:dyDescent="0.45">
      <c r="A365" t="s">
        <v>21</v>
      </c>
      <c r="B365">
        <v>2023</v>
      </c>
      <c r="C365" t="s">
        <v>38</v>
      </c>
      <c r="D365" s="1">
        <v>45123</v>
      </c>
      <c r="E365" t="s">
        <v>23</v>
      </c>
      <c r="F365" t="s">
        <v>24</v>
      </c>
      <c r="G365">
        <v>48</v>
      </c>
      <c r="N365" s="2" t="s">
        <v>25</v>
      </c>
      <c r="P365" t="s">
        <v>26</v>
      </c>
      <c r="Q365" t="s">
        <v>32</v>
      </c>
      <c r="R365" t="s">
        <v>28</v>
      </c>
      <c r="S365" t="s">
        <v>29</v>
      </c>
      <c r="T365">
        <v>25</v>
      </c>
    </row>
    <row r="366" spans="1:20" x14ac:dyDescent="0.45">
      <c r="A366" t="s">
        <v>21</v>
      </c>
      <c r="B366">
        <v>2023</v>
      </c>
      <c r="C366" t="s">
        <v>38</v>
      </c>
      <c r="D366" s="1">
        <v>45123</v>
      </c>
      <c r="E366" t="s">
        <v>23</v>
      </c>
      <c r="F366" t="s">
        <v>24</v>
      </c>
      <c r="G366">
        <v>48</v>
      </c>
      <c r="N366" s="2" t="s">
        <v>25</v>
      </c>
      <c r="P366" t="s">
        <v>26</v>
      </c>
      <c r="Q366" t="s">
        <v>33</v>
      </c>
      <c r="R366" t="s">
        <v>28</v>
      </c>
      <c r="S366" t="s">
        <v>29</v>
      </c>
      <c r="T366">
        <v>20</v>
      </c>
    </row>
    <row r="367" spans="1:20" x14ac:dyDescent="0.45">
      <c r="A367" t="s">
        <v>21</v>
      </c>
      <c r="B367">
        <v>2023</v>
      </c>
      <c r="C367" t="s">
        <v>39</v>
      </c>
      <c r="D367" s="1">
        <v>45130</v>
      </c>
      <c r="E367" t="s">
        <v>23</v>
      </c>
      <c r="F367" t="s">
        <v>24</v>
      </c>
      <c r="G367">
        <v>48</v>
      </c>
      <c r="N367" s="2" t="s">
        <v>25</v>
      </c>
      <c r="P367" t="s">
        <v>26</v>
      </c>
      <c r="Q367" t="s">
        <v>27</v>
      </c>
      <c r="R367" t="s">
        <v>28</v>
      </c>
      <c r="S367" t="s">
        <v>29</v>
      </c>
      <c r="T367">
        <v>3</v>
      </c>
    </row>
    <row r="368" spans="1:20" x14ac:dyDescent="0.45">
      <c r="A368" t="s">
        <v>21</v>
      </c>
      <c r="B368">
        <v>2023</v>
      </c>
      <c r="C368" t="s">
        <v>39</v>
      </c>
      <c r="D368" s="1">
        <v>45130</v>
      </c>
      <c r="E368" t="s">
        <v>23</v>
      </c>
      <c r="F368" t="s">
        <v>24</v>
      </c>
      <c r="G368">
        <v>48</v>
      </c>
      <c r="N368" s="2" t="s">
        <v>25</v>
      </c>
      <c r="P368" t="s">
        <v>26</v>
      </c>
      <c r="Q368" t="s">
        <v>30</v>
      </c>
      <c r="R368" t="s">
        <v>28</v>
      </c>
      <c r="S368" t="s">
        <v>29</v>
      </c>
      <c r="T368">
        <v>36</v>
      </c>
    </row>
    <row r="369" spans="1:20" x14ac:dyDescent="0.45">
      <c r="A369" t="s">
        <v>21</v>
      </c>
      <c r="B369">
        <v>2023</v>
      </c>
      <c r="C369" t="s">
        <v>39</v>
      </c>
      <c r="D369" s="1">
        <v>45130</v>
      </c>
      <c r="E369" t="s">
        <v>23</v>
      </c>
      <c r="F369" t="s">
        <v>24</v>
      </c>
      <c r="G369">
        <v>48</v>
      </c>
      <c r="N369" s="2" t="s">
        <v>25</v>
      </c>
      <c r="P369" t="s">
        <v>26</v>
      </c>
      <c r="Q369" t="s">
        <v>31</v>
      </c>
      <c r="R369" t="s">
        <v>28</v>
      </c>
      <c r="S369" t="s">
        <v>29</v>
      </c>
      <c r="T369">
        <v>21</v>
      </c>
    </row>
    <row r="370" spans="1:20" x14ac:dyDescent="0.45">
      <c r="A370" t="s">
        <v>21</v>
      </c>
      <c r="B370">
        <v>2023</v>
      </c>
      <c r="C370" t="s">
        <v>39</v>
      </c>
      <c r="D370" s="1">
        <v>45130</v>
      </c>
      <c r="E370" t="s">
        <v>23</v>
      </c>
      <c r="F370" t="s">
        <v>24</v>
      </c>
      <c r="G370">
        <v>48</v>
      </c>
      <c r="N370" s="2" t="s">
        <v>25</v>
      </c>
      <c r="P370" t="s">
        <v>26</v>
      </c>
      <c r="Q370" t="s">
        <v>32</v>
      </c>
      <c r="R370" t="s">
        <v>28</v>
      </c>
      <c r="S370" t="s">
        <v>29</v>
      </c>
      <c r="T370">
        <v>26</v>
      </c>
    </row>
    <row r="371" spans="1:20" x14ac:dyDescent="0.45">
      <c r="A371" t="s">
        <v>21</v>
      </c>
      <c r="B371">
        <v>2023</v>
      </c>
      <c r="C371" t="s">
        <v>39</v>
      </c>
      <c r="D371" s="1">
        <v>45130</v>
      </c>
      <c r="E371" t="s">
        <v>23</v>
      </c>
      <c r="F371" t="s">
        <v>24</v>
      </c>
      <c r="G371">
        <v>48</v>
      </c>
      <c r="N371" s="2" t="s">
        <v>25</v>
      </c>
      <c r="P371" t="s">
        <v>26</v>
      </c>
      <c r="Q371" t="s">
        <v>33</v>
      </c>
      <c r="R371" t="s">
        <v>28</v>
      </c>
      <c r="S371" t="s">
        <v>29</v>
      </c>
      <c r="T371">
        <v>14</v>
      </c>
    </row>
    <row r="372" spans="1:20" x14ac:dyDescent="0.45">
      <c r="A372" t="s">
        <v>21</v>
      </c>
      <c r="B372">
        <v>2023</v>
      </c>
      <c r="C372" t="s">
        <v>40</v>
      </c>
      <c r="D372" s="1">
        <v>45137</v>
      </c>
      <c r="E372" t="s">
        <v>23</v>
      </c>
      <c r="F372" t="s">
        <v>24</v>
      </c>
      <c r="G372">
        <v>48</v>
      </c>
      <c r="N372" s="2" t="s">
        <v>25</v>
      </c>
      <c r="P372" t="s">
        <v>26</v>
      </c>
      <c r="Q372" t="s">
        <v>27</v>
      </c>
      <c r="R372" t="s">
        <v>28</v>
      </c>
      <c r="S372" t="s">
        <v>29</v>
      </c>
      <c r="T372">
        <v>3</v>
      </c>
    </row>
    <row r="373" spans="1:20" x14ac:dyDescent="0.45">
      <c r="A373" t="s">
        <v>21</v>
      </c>
      <c r="B373">
        <v>2023</v>
      </c>
      <c r="C373" t="s">
        <v>40</v>
      </c>
      <c r="D373" s="1">
        <v>45137</v>
      </c>
      <c r="E373" t="s">
        <v>23</v>
      </c>
      <c r="F373" t="s">
        <v>24</v>
      </c>
      <c r="G373">
        <v>48</v>
      </c>
      <c r="N373" s="2" t="s">
        <v>25</v>
      </c>
      <c r="P373" t="s">
        <v>26</v>
      </c>
      <c r="Q373" t="s">
        <v>30</v>
      </c>
      <c r="R373" t="s">
        <v>28</v>
      </c>
      <c r="S373" t="s">
        <v>29</v>
      </c>
      <c r="T373">
        <v>33</v>
      </c>
    </row>
    <row r="374" spans="1:20" x14ac:dyDescent="0.45">
      <c r="A374" t="s">
        <v>21</v>
      </c>
      <c r="B374">
        <v>2023</v>
      </c>
      <c r="C374" t="s">
        <v>40</v>
      </c>
      <c r="D374" s="1">
        <v>45137</v>
      </c>
      <c r="E374" t="s">
        <v>23</v>
      </c>
      <c r="F374" t="s">
        <v>24</v>
      </c>
      <c r="G374">
        <v>48</v>
      </c>
      <c r="N374" s="2" t="s">
        <v>25</v>
      </c>
      <c r="P374" t="s">
        <v>26</v>
      </c>
      <c r="Q374" t="s">
        <v>31</v>
      </c>
      <c r="R374" t="s">
        <v>28</v>
      </c>
      <c r="S374" t="s">
        <v>29</v>
      </c>
      <c r="T374">
        <v>14</v>
      </c>
    </row>
    <row r="375" spans="1:20" x14ac:dyDescent="0.45">
      <c r="A375" t="s">
        <v>21</v>
      </c>
      <c r="B375">
        <v>2023</v>
      </c>
      <c r="C375" t="s">
        <v>40</v>
      </c>
      <c r="D375" s="1">
        <v>45137</v>
      </c>
      <c r="E375" t="s">
        <v>23</v>
      </c>
      <c r="F375" t="s">
        <v>24</v>
      </c>
      <c r="G375">
        <v>48</v>
      </c>
      <c r="N375" s="2" t="s">
        <v>25</v>
      </c>
      <c r="P375" t="s">
        <v>26</v>
      </c>
      <c r="Q375" t="s">
        <v>32</v>
      </c>
      <c r="R375" t="s">
        <v>28</v>
      </c>
      <c r="S375" t="s">
        <v>29</v>
      </c>
      <c r="T375">
        <v>28</v>
      </c>
    </row>
    <row r="376" spans="1:20" x14ac:dyDescent="0.45">
      <c r="A376" t="s">
        <v>21</v>
      </c>
      <c r="B376">
        <v>2023</v>
      </c>
      <c r="C376" t="s">
        <v>40</v>
      </c>
      <c r="D376" s="1">
        <v>45137</v>
      </c>
      <c r="E376" t="s">
        <v>23</v>
      </c>
      <c r="F376" t="s">
        <v>24</v>
      </c>
      <c r="G376">
        <v>48</v>
      </c>
      <c r="N376" s="2" t="s">
        <v>25</v>
      </c>
      <c r="P376" t="s">
        <v>26</v>
      </c>
      <c r="Q376" t="s">
        <v>33</v>
      </c>
      <c r="R376" t="s">
        <v>28</v>
      </c>
      <c r="S376" t="s">
        <v>29</v>
      </c>
      <c r="T376">
        <v>22</v>
      </c>
    </row>
    <row r="377" spans="1:20" x14ac:dyDescent="0.45">
      <c r="A377" t="s">
        <v>21</v>
      </c>
      <c r="B377">
        <v>2023</v>
      </c>
      <c r="C377" t="s">
        <v>41</v>
      </c>
      <c r="D377" s="1">
        <v>45144</v>
      </c>
      <c r="E377" t="s">
        <v>23</v>
      </c>
      <c r="F377" t="s">
        <v>24</v>
      </c>
      <c r="G377">
        <v>48</v>
      </c>
      <c r="N377" s="2" t="s">
        <v>25</v>
      </c>
      <c r="P377" t="s">
        <v>26</v>
      </c>
      <c r="Q377" t="s">
        <v>27</v>
      </c>
      <c r="R377" t="s">
        <v>28</v>
      </c>
      <c r="S377" t="s">
        <v>29</v>
      </c>
      <c r="T377">
        <v>3</v>
      </c>
    </row>
    <row r="378" spans="1:20" x14ac:dyDescent="0.45">
      <c r="A378" t="s">
        <v>21</v>
      </c>
      <c r="B378">
        <v>2023</v>
      </c>
      <c r="C378" t="s">
        <v>41</v>
      </c>
      <c r="D378" s="1">
        <v>45144</v>
      </c>
      <c r="E378" t="s">
        <v>23</v>
      </c>
      <c r="F378" t="s">
        <v>24</v>
      </c>
      <c r="G378">
        <v>48</v>
      </c>
      <c r="N378" s="2" t="s">
        <v>25</v>
      </c>
      <c r="P378" t="s">
        <v>26</v>
      </c>
      <c r="Q378" t="s">
        <v>30</v>
      </c>
      <c r="R378" t="s">
        <v>28</v>
      </c>
      <c r="S378" t="s">
        <v>29</v>
      </c>
      <c r="T378">
        <v>28</v>
      </c>
    </row>
    <row r="379" spans="1:20" x14ac:dyDescent="0.45">
      <c r="A379" t="s">
        <v>21</v>
      </c>
      <c r="B379">
        <v>2023</v>
      </c>
      <c r="C379" t="s">
        <v>41</v>
      </c>
      <c r="D379" s="1">
        <v>45144</v>
      </c>
      <c r="E379" t="s">
        <v>23</v>
      </c>
      <c r="F379" t="s">
        <v>24</v>
      </c>
      <c r="G379">
        <v>48</v>
      </c>
      <c r="N379" s="2" t="s">
        <v>25</v>
      </c>
      <c r="P379" t="s">
        <v>26</v>
      </c>
      <c r="Q379" t="s">
        <v>31</v>
      </c>
      <c r="R379" t="s">
        <v>28</v>
      </c>
      <c r="S379" t="s">
        <v>29</v>
      </c>
      <c r="T379">
        <v>14</v>
      </c>
    </row>
    <row r="380" spans="1:20" x14ac:dyDescent="0.45">
      <c r="A380" t="s">
        <v>21</v>
      </c>
      <c r="B380">
        <v>2023</v>
      </c>
      <c r="C380" t="s">
        <v>41</v>
      </c>
      <c r="D380" s="1">
        <v>45144</v>
      </c>
      <c r="E380" t="s">
        <v>23</v>
      </c>
      <c r="F380" t="s">
        <v>24</v>
      </c>
      <c r="G380">
        <v>48</v>
      </c>
      <c r="N380" s="2" t="s">
        <v>25</v>
      </c>
      <c r="P380" t="s">
        <v>26</v>
      </c>
      <c r="Q380" t="s">
        <v>32</v>
      </c>
      <c r="R380" t="s">
        <v>28</v>
      </c>
      <c r="S380" t="s">
        <v>29</v>
      </c>
      <c r="T380">
        <v>33</v>
      </c>
    </row>
    <row r="381" spans="1:20" x14ac:dyDescent="0.45">
      <c r="A381" t="s">
        <v>21</v>
      </c>
      <c r="B381">
        <v>2023</v>
      </c>
      <c r="C381" t="s">
        <v>41</v>
      </c>
      <c r="D381" s="1">
        <v>45144</v>
      </c>
      <c r="E381" t="s">
        <v>23</v>
      </c>
      <c r="F381" t="s">
        <v>24</v>
      </c>
      <c r="G381">
        <v>48</v>
      </c>
      <c r="N381" s="2" t="s">
        <v>25</v>
      </c>
      <c r="P381" t="s">
        <v>26</v>
      </c>
      <c r="Q381" t="s">
        <v>33</v>
      </c>
      <c r="R381" t="s">
        <v>28</v>
      </c>
      <c r="S381" t="s">
        <v>29</v>
      </c>
      <c r="T381">
        <v>22</v>
      </c>
    </row>
    <row r="382" spans="1:20" x14ac:dyDescent="0.45">
      <c r="A382" t="s">
        <v>21</v>
      </c>
      <c r="B382">
        <v>2023</v>
      </c>
      <c r="C382" t="s">
        <v>42</v>
      </c>
      <c r="D382" s="1">
        <v>45151</v>
      </c>
      <c r="E382" t="s">
        <v>23</v>
      </c>
      <c r="F382" t="s">
        <v>24</v>
      </c>
      <c r="G382">
        <v>48</v>
      </c>
      <c r="N382" s="2" t="s">
        <v>25</v>
      </c>
      <c r="P382" t="s">
        <v>26</v>
      </c>
      <c r="Q382" t="s">
        <v>27</v>
      </c>
      <c r="R382" t="s">
        <v>28</v>
      </c>
      <c r="S382" t="s">
        <v>29</v>
      </c>
      <c r="T382">
        <v>2</v>
      </c>
    </row>
    <row r="383" spans="1:20" x14ac:dyDescent="0.45">
      <c r="A383" t="s">
        <v>21</v>
      </c>
      <c r="B383">
        <v>2023</v>
      </c>
      <c r="C383" t="s">
        <v>42</v>
      </c>
      <c r="D383" s="1">
        <v>45151</v>
      </c>
      <c r="E383" t="s">
        <v>23</v>
      </c>
      <c r="F383" t="s">
        <v>24</v>
      </c>
      <c r="G383">
        <v>48</v>
      </c>
      <c r="N383" s="2" t="s">
        <v>25</v>
      </c>
      <c r="P383" t="s">
        <v>26</v>
      </c>
      <c r="Q383" t="s">
        <v>30</v>
      </c>
      <c r="R383" t="s">
        <v>28</v>
      </c>
      <c r="S383" t="s">
        <v>29</v>
      </c>
      <c r="T383">
        <v>20</v>
      </c>
    </row>
    <row r="384" spans="1:20" x14ac:dyDescent="0.45">
      <c r="A384" t="s">
        <v>21</v>
      </c>
      <c r="B384">
        <v>2023</v>
      </c>
      <c r="C384" t="s">
        <v>42</v>
      </c>
      <c r="D384" s="1">
        <v>45151</v>
      </c>
      <c r="E384" t="s">
        <v>23</v>
      </c>
      <c r="F384" t="s">
        <v>24</v>
      </c>
      <c r="G384">
        <v>48</v>
      </c>
      <c r="N384" s="2" t="s">
        <v>25</v>
      </c>
      <c r="P384" t="s">
        <v>26</v>
      </c>
      <c r="Q384" t="s">
        <v>31</v>
      </c>
      <c r="R384" t="s">
        <v>28</v>
      </c>
      <c r="S384" t="s">
        <v>29</v>
      </c>
      <c r="T384">
        <v>12</v>
      </c>
    </row>
    <row r="385" spans="1:20" x14ac:dyDescent="0.45">
      <c r="A385" t="s">
        <v>21</v>
      </c>
      <c r="B385">
        <v>2023</v>
      </c>
      <c r="C385" t="s">
        <v>42</v>
      </c>
      <c r="D385" s="1">
        <v>45151</v>
      </c>
      <c r="E385" t="s">
        <v>23</v>
      </c>
      <c r="F385" t="s">
        <v>24</v>
      </c>
      <c r="G385">
        <v>48</v>
      </c>
      <c r="N385" s="2" t="s">
        <v>25</v>
      </c>
      <c r="P385" t="s">
        <v>26</v>
      </c>
      <c r="Q385" t="s">
        <v>32</v>
      </c>
      <c r="R385" t="s">
        <v>28</v>
      </c>
      <c r="S385" t="s">
        <v>29</v>
      </c>
      <c r="T385">
        <v>36</v>
      </c>
    </row>
    <row r="386" spans="1:20" x14ac:dyDescent="0.45">
      <c r="A386" t="s">
        <v>21</v>
      </c>
      <c r="B386">
        <v>2023</v>
      </c>
      <c r="C386" t="s">
        <v>42</v>
      </c>
      <c r="D386" s="1">
        <v>45151</v>
      </c>
      <c r="E386" t="s">
        <v>23</v>
      </c>
      <c r="F386" t="s">
        <v>24</v>
      </c>
      <c r="G386">
        <v>48</v>
      </c>
      <c r="N386" s="2" t="s">
        <v>25</v>
      </c>
      <c r="P386" t="s">
        <v>26</v>
      </c>
      <c r="Q386" t="s">
        <v>33</v>
      </c>
      <c r="R386" t="s">
        <v>28</v>
      </c>
      <c r="S386" t="s">
        <v>29</v>
      </c>
      <c r="T386">
        <v>30</v>
      </c>
    </row>
    <row r="387" spans="1:20" x14ac:dyDescent="0.45">
      <c r="A387" t="s">
        <v>21</v>
      </c>
      <c r="B387">
        <v>2023</v>
      </c>
      <c r="C387" t="s">
        <v>43</v>
      </c>
      <c r="D387" s="1">
        <v>45158</v>
      </c>
      <c r="E387" t="s">
        <v>23</v>
      </c>
      <c r="F387" t="s">
        <v>24</v>
      </c>
      <c r="G387">
        <v>48</v>
      </c>
      <c r="N387" s="2" t="s">
        <v>25</v>
      </c>
      <c r="P387" t="s">
        <v>26</v>
      </c>
      <c r="Q387" t="s">
        <v>27</v>
      </c>
      <c r="R387" t="s">
        <v>28</v>
      </c>
      <c r="S387" t="s">
        <v>29</v>
      </c>
      <c r="T387">
        <v>2</v>
      </c>
    </row>
    <row r="388" spans="1:20" x14ac:dyDescent="0.45">
      <c r="A388" t="s">
        <v>21</v>
      </c>
      <c r="B388">
        <v>2023</v>
      </c>
      <c r="C388" t="s">
        <v>43</v>
      </c>
      <c r="D388" s="1">
        <v>45158</v>
      </c>
      <c r="E388" t="s">
        <v>23</v>
      </c>
      <c r="F388" t="s">
        <v>24</v>
      </c>
      <c r="G388">
        <v>48</v>
      </c>
      <c r="N388" s="2" t="s">
        <v>25</v>
      </c>
      <c r="P388" t="s">
        <v>26</v>
      </c>
      <c r="Q388" t="s">
        <v>30</v>
      </c>
      <c r="R388" t="s">
        <v>28</v>
      </c>
      <c r="S388" t="s">
        <v>29</v>
      </c>
      <c r="T388">
        <v>19</v>
      </c>
    </row>
    <row r="389" spans="1:20" x14ac:dyDescent="0.45">
      <c r="A389" t="s">
        <v>21</v>
      </c>
      <c r="B389">
        <v>2023</v>
      </c>
      <c r="C389" t="s">
        <v>43</v>
      </c>
      <c r="D389" s="1">
        <v>45158</v>
      </c>
      <c r="E389" t="s">
        <v>23</v>
      </c>
      <c r="F389" t="s">
        <v>24</v>
      </c>
      <c r="G389">
        <v>48</v>
      </c>
      <c r="N389" s="2" t="s">
        <v>25</v>
      </c>
      <c r="P389" t="s">
        <v>26</v>
      </c>
      <c r="Q389" t="s">
        <v>31</v>
      </c>
      <c r="R389" t="s">
        <v>28</v>
      </c>
      <c r="S389" t="s">
        <v>29</v>
      </c>
      <c r="T389">
        <v>8</v>
      </c>
    </row>
    <row r="390" spans="1:20" x14ac:dyDescent="0.45">
      <c r="A390" t="s">
        <v>21</v>
      </c>
      <c r="B390">
        <v>2023</v>
      </c>
      <c r="C390" t="s">
        <v>43</v>
      </c>
      <c r="D390" s="1">
        <v>45158</v>
      </c>
      <c r="E390" t="s">
        <v>23</v>
      </c>
      <c r="F390" t="s">
        <v>24</v>
      </c>
      <c r="G390">
        <v>48</v>
      </c>
      <c r="N390" s="2" t="s">
        <v>25</v>
      </c>
      <c r="P390" t="s">
        <v>26</v>
      </c>
      <c r="Q390" t="s">
        <v>32</v>
      </c>
      <c r="R390" t="s">
        <v>28</v>
      </c>
      <c r="S390" t="s">
        <v>29</v>
      </c>
      <c r="T390">
        <v>36</v>
      </c>
    </row>
    <row r="391" spans="1:20" x14ac:dyDescent="0.45">
      <c r="A391" t="s">
        <v>21</v>
      </c>
      <c r="B391">
        <v>2023</v>
      </c>
      <c r="C391" t="s">
        <v>43</v>
      </c>
      <c r="D391" s="1">
        <v>45158</v>
      </c>
      <c r="E391" t="s">
        <v>23</v>
      </c>
      <c r="F391" t="s">
        <v>24</v>
      </c>
      <c r="G391">
        <v>48</v>
      </c>
      <c r="N391" s="2" t="s">
        <v>25</v>
      </c>
      <c r="P391" t="s">
        <v>26</v>
      </c>
      <c r="Q391" t="s">
        <v>33</v>
      </c>
      <c r="R391" t="s">
        <v>28</v>
      </c>
      <c r="S391" t="s">
        <v>29</v>
      </c>
      <c r="T391">
        <v>35</v>
      </c>
    </row>
    <row r="392" spans="1:20" x14ac:dyDescent="0.45">
      <c r="A392" t="s">
        <v>21</v>
      </c>
      <c r="B392">
        <v>2023</v>
      </c>
      <c r="C392" t="s">
        <v>44</v>
      </c>
      <c r="D392" s="1">
        <v>45165</v>
      </c>
      <c r="E392" t="s">
        <v>23</v>
      </c>
      <c r="F392" t="s">
        <v>24</v>
      </c>
      <c r="G392">
        <v>48</v>
      </c>
      <c r="N392" s="2" t="s">
        <v>25</v>
      </c>
      <c r="P392" t="s">
        <v>26</v>
      </c>
      <c r="Q392" t="s">
        <v>27</v>
      </c>
      <c r="R392" t="s">
        <v>28</v>
      </c>
      <c r="S392" t="s">
        <v>29</v>
      </c>
      <c r="T392">
        <v>1</v>
      </c>
    </row>
    <row r="393" spans="1:20" x14ac:dyDescent="0.45">
      <c r="A393" t="s">
        <v>21</v>
      </c>
      <c r="B393">
        <v>2023</v>
      </c>
      <c r="C393" t="s">
        <v>44</v>
      </c>
      <c r="D393" s="1">
        <v>45165</v>
      </c>
      <c r="E393" t="s">
        <v>23</v>
      </c>
      <c r="F393" t="s">
        <v>24</v>
      </c>
      <c r="G393">
        <v>48</v>
      </c>
      <c r="N393" s="2" t="s">
        <v>25</v>
      </c>
      <c r="P393" t="s">
        <v>26</v>
      </c>
      <c r="Q393" t="s">
        <v>30</v>
      </c>
      <c r="R393" t="s">
        <v>28</v>
      </c>
      <c r="S393" t="s">
        <v>29</v>
      </c>
      <c r="T393">
        <v>21</v>
      </c>
    </row>
    <row r="394" spans="1:20" x14ac:dyDescent="0.45">
      <c r="A394" t="s">
        <v>21</v>
      </c>
      <c r="B394">
        <v>2023</v>
      </c>
      <c r="C394" t="s">
        <v>44</v>
      </c>
      <c r="D394" s="1">
        <v>45165</v>
      </c>
      <c r="E394" t="s">
        <v>23</v>
      </c>
      <c r="F394" t="s">
        <v>24</v>
      </c>
      <c r="G394">
        <v>48</v>
      </c>
      <c r="N394" s="2" t="s">
        <v>25</v>
      </c>
      <c r="P394" t="s">
        <v>26</v>
      </c>
      <c r="Q394" t="s">
        <v>31</v>
      </c>
      <c r="R394" t="s">
        <v>28</v>
      </c>
      <c r="S394" t="s">
        <v>29</v>
      </c>
      <c r="T394">
        <v>11</v>
      </c>
    </row>
    <row r="395" spans="1:20" x14ac:dyDescent="0.45">
      <c r="A395" t="s">
        <v>21</v>
      </c>
      <c r="B395">
        <v>2023</v>
      </c>
      <c r="C395" t="s">
        <v>44</v>
      </c>
      <c r="D395" s="1">
        <v>45165</v>
      </c>
      <c r="E395" t="s">
        <v>23</v>
      </c>
      <c r="F395" t="s">
        <v>24</v>
      </c>
      <c r="G395">
        <v>48</v>
      </c>
      <c r="N395" s="2" t="s">
        <v>25</v>
      </c>
      <c r="P395" t="s">
        <v>26</v>
      </c>
      <c r="Q395" t="s">
        <v>32</v>
      </c>
      <c r="R395" t="s">
        <v>28</v>
      </c>
      <c r="S395" t="s">
        <v>29</v>
      </c>
      <c r="T395">
        <v>30</v>
      </c>
    </row>
    <row r="396" spans="1:20" x14ac:dyDescent="0.45">
      <c r="A396" t="s">
        <v>21</v>
      </c>
      <c r="B396">
        <v>2023</v>
      </c>
      <c r="C396" t="s">
        <v>44</v>
      </c>
      <c r="D396" s="1">
        <v>45165</v>
      </c>
      <c r="E396" t="s">
        <v>23</v>
      </c>
      <c r="F396" t="s">
        <v>24</v>
      </c>
      <c r="G396">
        <v>48</v>
      </c>
      <c r="N396" s="2" t="s">
        <v>25</v>
      </c>
      <c r="P396" t="s">
        <v>26</v>
      </c>
      <c r="Q396" t="s">
        <v>33</v>
      </c>
      <c r="R396" t="s">
        <v>28</v>
      </c>
      <c r="S396" t="s">
        <v>29</v>
      </c>
      <c r="T396">
        <v>37</v>
      </c>
    </row>
    <row r="397" spans="1:20" x14ac:dyDescent="0.45">
      <c r="A397" t="s">
        <v>21</v>
      </c>
      <c r="B397">
        <v>2023</v>
      </c>
      <c r="C397" t="s">
        <v>45</v>
      </c>
      <c r="D397" s="1">
        <v>45172</v>
      </c>
      <c r="E397" t="s">
        <v>23</v>
      </c>
      <c r="F397" t="s">
        <v>24</v>
      </c>
      <c r="G397">
        <v>48</v>
      </c>
      <c r="N397" s="2" t="s">
        <v>25</v>
      </c>
      <c r="P397" t="s">
        <v>26</v>
      </c>
      <c r="Q397" t="s">
        <v>27</v>
      </c>
      <c r="R397" t="s">
        <v>28</v>
      </c>
      <c r="S397" t="s">
        <v>29</v>
      </c>
      <c r="T397">
        <v>1</v>
      </c>
    </row>
    <row r="398" spans="1:20" x14ac:dyDescent="0.45">
      <c r="A398" t="s">
        <v>21</v>
      </c>
      <c r="B398">
        <v>2023</v>
      </c>
      <c r="C398" t="s">
        <v>45</v>
      </c>
      <c r="D398" s="1">
        <v>45172</v>
      </c>
      <c r="E398" t="s">
        <v>23</v>
      </c>
      <c r="F398" t="s">
        <v>24</v>
      </c>
      <c r="G398">
        <v>48</v>
      </c>
      <c r="N398" s="2" t="s">
        <v>25</v>
      </c>
      <c r="P398" t="s">
        <v>26</v>
      </c>
      <c r="Q398" t="s">
        <v>30</v>
      </c>
      <c r="R398" t="s">
        <v>28</v>
      </c>
      <c r="S398" t="s">
        <v>29</v>
      </c>
      <c r="T398">
        <v>28</v>
      </c>
    </row>
    <row r="399" spans="1:20" x14ac:dyDescent="0.45">
      <c r="A399" t="s">
        <v>21</v>
      </c>
      <c r="B399">
        <v>2023</v>
      </c>
      <c r="C399" t="s">
        <v>45</v>
      </c>
      <c r="D399" s="1">
        <v>45172</v>
      </c>
      <c r="E399" t="s">
        <v>23</v>
      </c>
      <c r="F399" t="s">
        <v>24</v>
      </c>
      <c r="G399">
        <v>48</v>
      </c>
      <c r="N399" s="2" t="s">
        <v>25</v>
      </c>
      <c r="P399" t="s">
        <v>26</v>
      </c>
      <c r="Q399" t="s">
        <v>31</v>
      </c>
      <c r="R399" t="s">
        <v>28</v>
      </c>
      <c r="S399" t="s">
        <v>29</v>
      </c>
      <c r="T399">
        <v>10</v>
      </c>
    </row>
    <row r="400" spans="1:20" x14ac:dyDescent="0.45">
      <c r="A400" t="s">
        <v>21</v>
      </c>
      <c r="B400">
        <v>2023</v>
      </c>
      <c r="C400" t="s">
        <v>45</v>
      </c>
      <c r="D400" s="1">
        <v>45172</v>
      </c>
      <c r="E400" t="s">
        <v>23</v>
      </c>
      <c r="F400" t="s">
        <v>24</v>
      </c>
      <c r="G400">
        <v>48</v>
      </c>
      <c r="N400" s="2" t="s">
        <v>25</v>
      </c>
      <c r="P400" t="s">
        <v>26</v>
      </c>
      <c r="Q400" t="s">
        <v>32</v>
      </c>
      <c r="R400" t="s">
        <v>28</v>
      </c>
      <c r="S400" t="s">
        <v>29</v>
      </c>
      <c r="T400">
        <v>32</v>
      </c>
    </row>
    <row r="401" spans="1:20" x14ac:dyDescent="0.45">
      <c r="A401" t="s">
        <v>21</v>
      </c>
      <c r="B401">
        <v>2023</v>
      </c>
      <c r="C401" t="s">
        <v>45</v>
      </c>
      <c r="D401" s="1">
        <v>45172</v>
      </c>
      <c r="E401" t="s">
        <v>23</v>
      </c>
      <c r="F401" t="s">
        <v>24</v>
      </c>
      <c r="G401">
        <v>48</v>
      </c>
      <c r="N401" s="2" t="s">
        <v>25</v>
      </c>
      <c r="P401" t="s">
        <v>26</v>
      </c>
      <c r="Q401" t="s">
        <v>33</v>
      </c>
      <c r="R401" t="s">
        <v>28</v>
      </c>
      <c r="S401" t="s">
        <v>29</v>
      </c>
      <c r="T401">
        <v>29</v>
      </c>
    </row>
    <row r="402" spans="1:20" x14ac:dyDescent="0.45">
      <c r="A402" t="s">
        <v>21</v>
      </c>
      <c r="B402">
        <v>2023</v>
      </c>
      <c r="C402" t="s">
        <v>46</v>
      </c>
      <c r="D402" s="1">
        <v>45179</v>
      </c>
      <c r="E402" t="s">
        <v>23</v>
      </c>
      <c r="F402" t="s">
        <v>24</v>
      </c>
      <c r="G402">
        <v>48</v>
      </c>
      <c r="N402" s="2" t="s">
        <v>25</v>
      </c>
      <c r="P402" t="s">
        <v>26</v>
      </c>
      <c r="Q402" t="s">
        <v>27</v>
      </c>
      <c r="R402" t="s">
        <v>28</v>
      </c>
      <c r="S402" t="s">
        <v>29</v>
      </c>
      <c r="T402">
        <v>1</v>
      </c>
    </row>
    <row r="403" spans="1:20" x14ac:dyDescent="0.45">
      <c r="A403" t="s">
        <v>21</v>
      </c>
      <c r="B403">
        <v>2023</v>
      </c>
      <c r="C403" t="s">
        <v>46</v>
      </c>
      <c r="D403" s="1">
        <v>45179</v>
      </c>
      <c r="E403" t="s">
        <v>23</v>
      </c>
      <c r="F403" t="s">
        <v>24</v>
      </c>
      <c r="G403">
        <v>48</v>
      </c>
      <c r="N403" s="2" t="s">
        <v>25</v>
      </c>
      <c r="P403" t="s">
        <v>26</v>
      </c>
      <c r="Q403" t="s">
        <v>30</v>
      </c>
      <c r="R403" t="s">
        <v>28</v>
      </c>
      <c r="S403" t="s">
        <v>29</v>
      </c>
      <c r="T403">
        <v>30</v>
      </c>
    </row>
    <row r="404" spans="1:20" x14ac:dyDescent="0.45">
      <c r="A404" t="s">
        <v>21</v>
      </c>
      <c r="B404">
        <v>2023</v>
      </c>
      <c r="C404" t="s">
        <v>46</v>
      </c>
      <c r="D404" s="1">
        <v>45179</v>
      </c>
      <c r="E404" t="s">
        <v>23</v>
      </c>
      <c r="F404" t="s">
        <v>24</v>
      </c>
      <c r="G404">
        <v>48</v>
      </c>
      <c r="N404" s="2" t="s">
        <v>25</v>
      </c>
      <c r="P404" t="s">
        <v>26</v>
      </c>
      <c r="Q404" t="s">
        <v>31</v>
      </c>
      <c r="R404" t="s">
        <v>28</v>
      </c>
      <c r="S404" t="s">
        <v>29</v>
      </c>
      <c r="T404">
        <v>8</v>
      </c>
    </row>
    <row r="405" spans="1:20" x14ac:dyDescent="0.45">
      <c r="A405" t="s">
        <v>21</v>
      </c>
      <c r="B405">
        <v>2023</v>
      </c>
      <c r="C405" t="s">
        <v>46</v>
      </c>
      <c r="D405" s="1">
        <v>45179</v>
      </c>
      <c r="E405" t="s">
        <v>23</v>
      </c>
      <c r="F405" t="s">
        <v>24</v>
      </c>
      <c r="G405">
        <v>48</v>
      </c>
      <c r="N405" s="2" t="s">
        <v>25</v>
      </c>
      <c r="P405" t="s">
        <v>26</v>
      </c>
      <c r="Q405" t="s">
        <v>32</v>
      </c>
      <c r="R405" t="s">
        <v>28</v>
      </c>
      <c r="S405" t="s">
        <v>29</v>
      </c>
      <c r="T405">
        <v>33</v>
      </c>
    </row>
    <row r="406" spans="1:20" x14ac:dyDescent="0.45">
      <c r="A406" t="s">
        <v>21</v>
      </c>
      <c r="B406">
        <v>2023</v>
      </c>
      <c r="C406" t="s">
        <v>46</v>
      </c>
      <c r="D406" s="1">
        <v>45179</v>
      </c>
      <c r="E406" t="s">
        <v>23</v>
      </c>
      <c r="F406" t="s">
        <v>24</v>
      </c>
      <c r="G406">
        <v>48</v>
      </c>
      <c r="N406" s="2" t="s">
        <v>25</v>
      </c>
      <c r="P406" t="s">
        <v>26</v>
      </c>
      <c r="Q406" t="s">
        <v>33</v>
      </c>
      <c r="R406" t="s">
        <v>28</v>
      </c>
      <c r="S406" t="s">
        <v>29</v>
      </c>
      <c r="T406">
        <v>28</v>
      </c>
    </row>
    <row r="407" spans="1:20" x14ac:dyDescent="0.45">
      <c r="A407" t="s">
        <v>21</v>
      </c>
      <c r="B407">
        <v>2023</v>
      </c>
      <c r="C407" t="s">
        <v>47</v>
      </c>
      <c r="D407" s="1">
        <v>45186</v>
      </c>
      <c r="E407" t="s">
        <v>23</v>
      </c>
      <c r="F407" t="s">
        <v>24</v>
      </c>
      <c r="G407">
        <v>48</v>
      </c>
      <c r="N407" s="2" t="s">
        <v>25</v>
      </c>
      <c r="P407" t="s">
        <v>26</v>
      </c>
      <c r="Q407" t="s">
        <v>27</v>
      </c>
      <c r="R407" t="s">
        <v>28</v>
      </c>
      <c r="S407" t="s">
        <v>29</v>
      </c>
      <c r="T407">
        <v>1</v>
      </c>
    </row>
    <row r="408" spans="1:20" x14ac:dyDescent="0.45">
      <c r="A408" t="s">
        <v>21</v>
      </c>
      <c r="B408">
        <v>2023</v>
      </c>
      <c r="C408" t="s">
        <v>47</v>
      </c>
      <c r="D408" s="1">
        <v>45186</v>
      </c>
      <c r="E408" t="s">
        <v>23</v>
      </c>
      <c r="F408" t="s">
        <v>24</v>
      </c>
      <c r="G408">
        <v>48</v>
      </c>
      <c r="N408" s="2" t="s">
        <v>25</v>
      </c>
      <c r="P408" t="s">
        <v>26</v>
      </c>
      <c r="Q408" t="s">
        <v>30</v>
      </c>
      <c r="R408" t="s">
        <v>28</v>
      </c>
      <c r="S408" t="s">
        <v>29</v>
      </c>
      <c r="T408">
        <v>25</v>
      </c>
    </row>
    <row r="409" spans="1:20" x14ac:dyDescent="0.45">
      <c r="A409" t="s">
        <v>21</v>
      </c>
      <c r="B409">
        <v>2023</v>
      </c>
      <c r="C409" t="s">
        <v>47</v>
      </c>
      <c r="D409" s="1">
        <v>45186</v>
      </c>
      <c r="E409" t="s">
        <v>23</v>
      </c>
      <c r="F409" t="s">
        <v>24</v>
      </c>
      <c r="G409">
        <v>48</v>
      </c>
      <c r="N409" s="2" t="s">
        <v>25</v>
      </c>
      <c r="P409" t="s">
        <v>26</v>
      </c>
      <c r="Q409" t="s">
        <v>31</v>
      </c>
      <c r="R409" t="s">
        <v>28</v>
      </c>
      <c r="S409" t="s">
        <v>29</v>
      </c>
      <c r="T409">
        <v>9</v>
      </c>
    </row>
    <row r="410" spans="1:20" x14ac:dyDescent="0.45">
      <c r="A410" t="s">
        <v>21</v>
      </c>
      <c r="B410">
        <v>2023</v>
      </c>
      <c r="C410" t="s">
        <v>47</v>
      </c>
      <c r="D410" s="1">
        <v>45186</v>
      </c>
      <c r="E410" t="s">
        <v>23</v>
      </c>
      <c r="F410" t="s">
        <v>24</v>
      </c>
      <c r="G410">
        <v>48</v>
      </c>
      <c r="N410" s="2" t="s">
        <v>25</v>
      </c>
      <c r="P410" t="s">
        <v>26</v>
      </c>
      <c r="Q410" t="s">
        <v>32</v>
      </c>
      <c r="R410" t="s">
        <v>28</v>
      </c>
      <c r="S410" t="s">
        <v>29</v>
      </c>
      <c r="T410">
        <v>33</v>
      </c>
    </row>
    <row r="411" spans="1:20" x14ac:dyDescent="0.45">
      <c r="A411" t="s">
        <v>21</v>
      </c>
      <c r="B411">
        <v>2023</v>
      </c>
      <c r="C411" t="s">
        <v>47</v>
      </c>
      <c r="D411" s="1">
        <v>45186</v>
      </c>
      <c r="E411" t="s">
        <v>23</v>
      </c>
      <c r="F411" t="s">
        <v>24</v>
      </c>
      <c r="G411">
        <v>48</v>
      </c>
      <c r="N411" s="2" t="s">
        <v>25</v>
      </c>
      <c r="P411" t="s">
        <v>26</v>
      </c>
      <c r="Q411" t="s">
        <v>33</v>
      </c>
      <c r="R411" t="s">
        <v>28</v>
      </c>
      <c r="S411" t="s">
        <v>29</v>
      </c>
      <c r="T411">
        <v>32</v>
      </c>
    </row>
    <row r="412" spans="1:20" x14ac:dyDescent="0.45">
      <c r="A412" t="s">
        <v>21</v>
      </c>
      <c r="B412">
        <v>2023</v>
      </c>
      <c r="C412" t="s">
        <v>48</v>
      </c>
      <c r="D412" s="1">
        <v>45193</v>
      </c>
      <c r="E412" t="s">
        <v>23</v>
      </c>
      <c r="F412" t="s">
        <v>24</v>
      </c>
      <c r="G412">
        <v>48</v>
      </c>
      <c r="N412" s="2" t="s">
        <v>25</v>
      </c>
      <c r="P412" t="s">
        <v>26</v>
      </c>
      <c r="Q412" t="s">
        <v>27</v>
      </c>
      <c r="R412" t="s">
        <v>28</v>
      </c>
      <c r="S412" t="s">
        <v>29</v>
      </c>
      <c r="T412">
        <v>1</v>
      </c>
    </row>
    <row r="413" spans="1:20" x14ac:dyDescent="0.45">
      <c r="A413" t="s">
        <v>21</v>
      </c>
      <c r="B413">
        <v>2023</v>
      </c>
      <c r="C413" t="s">
        <v>48</v>
      </c>
      <c r="D413" s="1">
        <v>45193</v>
      </c>
      <c r="E413" t="s">
        <v>23</v>
      </c>
      <c r="F413" t="s">
        <v>24</v>
      </c>
      <c r="G413">
        <v>48</v>
      </c>
      <c r="N413" s="2" t="s">
        <v>25</v>
      </c>
      <c r="P413" t="s">
        <v>26</v>
      </c>
      <c r="Q413" t="s">
        <v>30</v>
      </c>
      <c r="R413" t="s">
        <v>28</v>
      </c>
      <c r="S413" t="s">
        <v>29</v>
      </c>
      <c r="T413">
        <v>25</v>
      </c>
    </row>
    <row r="414" spans="1:20" x14ac:dyDescent="0.45">
      <c r="A414" t="s">
        <v>21</v>
      </c>
      <c r="B414">
        <v>2023</v>
      </c>
      <c r="C414" t="s">
        <v>48</v>
      </c>
      <c r="D414" s="1">
        <v>45193</v>
      </c>
      <c r="E414" t="s">
        <v>23</v>
      </c>
      <c r="F414" t="s">
        <v>24</v>
      </c>
      <c r="G414">
        <v>48</v>
      </c>
      <c r="N414" s="2" t="s">
        <v>25</v>
      </c>
      <c r="P414" t="s">
        <v>26</v>
      </c>
      <c r="Q414" t="s">
        <v>31</v>
      </c>
      <c r="R414" t="s">
        <v>28</v>
      </c>
      <c r="S414" t="s">
        <v>29</v>
      </c>
      <c r="T414">
        <v>9</v>
      </c>
    </row>
    <row r="415" spans="1:20" x14ac:dyDescent="0.45">
      <c r="A415" t="s">
        <v>21</v>
      </c>
      <c r="B415">
        <v>2023</v>
      </c>
      <c r="C415" t="s">
        <v>48</v>
      </c>
      <c r="D415" s="1">
        <v>45193</v>
      </c>
      <c r="E415" t="s">
        <v>23</v>
      </c>
      <c r="F415" t="s">
        <v>24</v>
      </c>
      <c r="G415">
        <v>48</v>
      </c>
      <c r="N415" s="2" t="s">
        <v>25</v>
      </c>
      <c r="P415" t="s">
        <v>26</v>
      </c>
      <c r="Q415" t="s">
        <v>32</v>
      </c>
      <c r="R415" t="s">
        <v>28</v>
      </c>
      <c r="S415" t="s">
        <v>29</v>
      </c>
      <c r="T415">
        <v>32</v>
      </c>
    </row>
    <row r="416" spans="1:20" x14ac:dyDescent="0.45">
      <c r="A416" t="s">
        <v>21</v>
      </c>
      <c r="B416">
        <v>2023</v>
      </c>
      <c r="C416" t="s">
        <v>48</v>
      </c>
      <c r="D416" s="1">
        <v>45193</v>
      </c>
      <c r="E416" t="s">
        <v>23</v>
      </c>
      <c r="F416" t="s">
        <v>24</v>
      </c>
      <c r="G416">
        <v>48</v>
      </c>
      <c r="N416" s="2" t="s">
        <v>25</v>
      </c>
      <c r="P416" t="s">
        <v>26</v>
      </c>
      <c r="Q416" t="s">
        <v>33</v>
      </c>
      <c r="R416" t="s">
        <v>28</v>
      </c>
      <c r="S416" t="s">
        <v>29</v>
      </c>
      <c r="T416">
        <v>33</v>
      </c>
    </row>
    <row r="417" spans="1:20" x14ac:dyDescent="0.45">
      <c r="A417" t="s">
        <v>21</v>
      </c>
      <c r="B417">
        <v>2023</v>
      </c>
      <c r="C417" t="s">
        <v>52</v>
      </c>
      <c r="D417" s="1">
        <v>45200</v>
      </c>
      <c r="E417" t="s">
        <v>23</v>
      </c>
      <c r="F417" t="s">
        <v>24</v>
      </c>
      <c r="G417">
        <v>48</v>
      </c>
      <c r="N417" s="2" t="s">
        <v>25</v>
      </c>
      <c r="P417" t="s">
        <v>26</v>
      </c>
      <c r="Q417" t="s">
        <v>27</v>
      </c>
      <c r="R417" t="s">
        <v>28</v>
      </c>
      <c r="S417" t="s">
        <v>29</v>
      </c>
      <c r="T417">
        <v>1</v>
      </c>
    </row>
    <row r="418" spans="1:20" x14ac:dyDescent="0.45">
      <c r="A418" t="s">
        <v>21</v>
      </c>
      <c r="B418">
        <v>2023</v>
      </c>
      <c r="C418" t="s">
        <v>52</v>
      </c>
      <c r="D418" s="1">
        <v>45200</v>
      </c>
      <c r="E418" t="s">
        <v>23</v>
      </c>
      <c r="F418" t="s">
        <v>24</v>
      </c>
      <c r="G418">
        <v>48</v>
      </c>
      <c r="N418" s="2" t="s">
        <v>25</v>
      </c>
      <c r="P418" t="s">
        <v>26</v>
      </c>
      <c r="Q418" t="s">
        <v>30</v>
      </c>
      <c r="R418" t="s">
        <v>28</v>
      </c>
      <c r="S418" t="s">
        <v>29</v>
      </c>
      <c r="T418">
        <v>24</v>
      </c>
    </row>
    <row r="419" spans="1:20" x14ac:dyDescent="0.45">
      <c r="A419" t="s">
        <v>21</v>
      </c>
      <c r="B419">
        <v>2023</v>
      </c>
      <c r="C419" t="s">
        <v>52</v>
      </c>
      <c r="D419" s="1">
        <v>45200</v>
      </c>
      <c r="E419" t="s">
        <v>23</v>
      </c>
      <c r="F419" t="s">
        <v>24</v>
      </c>
      <c r="G419">
        <v>48</v>
      </c>
      <c r="N419" s="2" t="s">
        <v>25</v>
      </c>
      <c r="P419" t="s">
        <v>26</v>
      </c>
      <c r="Q419" t="s">
        <v>31</v>
      </c>
      <c r="R419" t="s">
        <v>28</v>
      </c>
      <c r="S419" t="s">
        <v>29</v>
      </c>
      <c r="T419">
        <v>10</v>
      </c>
    </row>
    <row r="420" spans="1:20" x14ac:dyDescent="0.45">
      <c r="A420" t="s">
        <v>21</v>
      </c>
      <c r="B420">
        <v>2023</v>
      </c>
      <c r="C420" t="s">
        <v>52</v>
      </c>
      <c r="D420" s="1">
        <v>45200</v>
      </c>
      <c r="E420" t="s">
        <v>23</v>
      </c>
      <c r="F420" t="s">
        <v>24</v>
      </c>
      <c r="G420">
        <v>48</v>
      </c>
      <c r="N420" s="2" t="s">
        <v>25</v>
      </c>
      <c r="P420" t="s">
        <v>26</v>
      </c>
      <c r="Q420" t="s">
        <v>32</v>
      </c>
      <c r="R420" t="s">
        <v>28</v>
      </c>
      <c r="S420" t="s">
        <v>29</v>
      </c>
      <c r="T420">
        <v>26</v>
      </c>
    </row>
    <row r="421" spans="1:20" x14ac:dyDescent="0.45">
      <c r="A421" t="s">
        <v>21</v>
      </c>
      <c r="B421">
        <v>2023</v>
      </c>
      <c r="C421" t="s">
        <v>52</v>
      </c>
      <c r="D421" s="1">
        <v>45200</v>
      </c>
      <c r="E421" t="s">
        <v>23</v>
      </c>
      <c r="F421" t="s">
        <v>24</v>
      </c>
      <c r="G421">
        <v>48</v>
      </c>
      <c r="N421" s="2" t="s">
        <v>25</v>
      </c>
      <c r="P421" t="s">
        <v>26</v>
      </c>
      <c r="Q421" t="s">
        <v>33</v>
      </c>
      <c r="R421" t="s">
        <v>28</v>
      </c>
      <c r="S421" t="s">
        <v>29</v>
      </c>
      <c r="T421">
        <v>39</v>
      </c>
    </row>
    <row r="422" spans="1:20" x14ac:dyDescent="0.45">
      <c r="A422" t="s">
        <v>21</v>
      </c>
      <c r="B422">
        <v>2023</v>
      </c>
      <c r="C422" t="s">
        <v>55</v>
      </c>
      <c r="D422" s="1">
        <v>45207</v>
      </c>
      <c r="E422" t="s">
        <v>23</v>
      </c>
      <c r="F422" t="s">
        <v>24</v>
      </c>
      <c r="G422">
        <v>48</v>
      </c>
      <c r="N422" s="2" t="s">
        <v>25</v>
      </c>
      <c r="P422" t="s">
        <v>26</v>
      </c>
      <c r="Q422" t="s">
        <v>27</v>
      </c>
      <c r="R422" t="s">
        <v>28</v>
      </c>
      <c r="S422" t="s">
        <v>29</v>
      </c>
      <c r="T422">
        <v>2</v>
      </c>
    </row>
    <row r="423" spans="1:20" x14ac:dyDescent="0.45">
      <c r="A423" t="s">
        <v>21</v>
      </c>
      <c r="B423">
        <v>2023</v>
      </c>
      <c r="C423" t="s">
        <v>55</v>
      </c>
      <c r="D423" s="1">
        <v>45207</v>
      </c>
      <c r="E423" t="s">
        <v>23</v>
      </c>
      <c r="F423" t="s">
        <v>24</v>
      </c>
      <c r="G423">
        <v>48</v>
      </c>
      <c r="N423" s="2" t="s">
        <v>25</v>
      </c>
      <c r="P423" t="s">
        <v>26</v>
      </c>
      <c r="Q423" t="s">
        <v>30</v>
      </c>
      <c r="R423" t="s">
        <v>28</v>
      </c>
      <c r="S423" t="s">
        <v>29</v>
      </c>
      <c r="T423">
        <v>24</v>
      </c>
    </row>
    <row r="424" spans="1:20" x14ac:dyDescent="0.45">
      <c r="A424" t="s">
        <v>21</v>
      </c>
      <c r="B424">
        <v>2023</v>
      </c>
      <c r="C424" t="s">
        <v>55</v>
      </c>
      <c r="D424" s="1">
        <v>45207</v>
      </c>
      <c r="E424" t="s">
        <v>23</v>
      </c>
      <c r="F424" t="s">
        <v>24</v>
      </c>
      <c r="G424">
        <v>48</v>
      </c>
      <c r="N424" s="2" t="s">
        <v>25</v>
      </c>
      <c r="P424" t="s">
        <v>26</v>
      </c>
      <c r="Q424" t="s">
        <v>31</v>
      </c>
      <c r="R424" t="s">
        <v>28</v>
      </c>
      <c r="S424" t="s">
        <v>29</v>
      </c>
      <c r="T424">
        <v>13</v>
      </c>
    </row>
    <row r="425" spans="1:20" x14ac:dyDescent="0.45">
      <c r="A425" t="s">
        <v>21</v>
      </c>
      <c r="B425">
        <v>2023</v>
      </c>
      <c r="C425" t="s">
        <v>55</v>
      </c>
      <c r="D425" s="1">
        <v>45207</v>
      </c>
      <c r="E425" t="s">
        <v>23</v>
      </c>
      <c r="F425" t="s">
        <v>24</v>
      </c>
      <c r="G425">
        <v>48</v>
      </c>
      <c r="N425" s="2" t="s">
        <v>25</v>
      </c>
      <c r="P425" t="s">
        <v>26</v>
      </c>
      <c r="Q425" t="s">
        <v>32</v>
      </c>
      <c r="R425" t="s">
        <v>28</v>
      </c>
      <c r="S425" t="s">
        <v>29</v>
      </c>
      <c r="T425">
        <v>28</v>
      </c>
    </row>
    <row r="426" spans="1:20" x14ac:dyDescent="0.45">
      <c r="A426" t="s">
        <v>21</v>
      </c>
      <c r="B426">
        <v>2023</v>
      </c>
      <c r="C426" t="s">
        <v>55</v>
      </c>
      <c r="D426" s="1">
        <v>45207</v>
      </c>
      <c r="E426" t="s">
        <v>23</v>
      </c>
      <c r="F426" t="s">
        <v>24</v>
      </c>
      <c r="G426">
        <v>48</v>
      </c>
      <c r="N426" s="2" t="s">
        <v>25</v>
      </c>
      <c r="P426" t="s">
        <v>26</v>
      </c>
      <c r="Q426" t="s">
        <v>33</v>
      </c>
      <c r="R426" t="s">
        <v>28</v>
      </c>
      <c r="S426" t="s">
        <v>29</v>
      </c>
      <c r="T426">
        <v>33</v>
      </c>
    </row>
    <row r="427" spans="1:20" x14ac:dyDescent="0.45">
      <c r="A427" t="s">
        <v>21</v>
      </c>
      <c r="B427">
        <v>2023</v>
      </c>
      <c r="C427" t="s">
        <v>56</v>
      </c>
      <c r="D427" s="1">
        <v>45214</v>
      </c>
      <c r="E427" t="s">
        <v>23</v>
      </c>
      <c r="F427" t="s">
        <v>24</v>
      </c>
      <c r="G427">
        <v>48</v>
      </c>
      <c r="N427" s="2" t="s">
        <v>25</v>
      </c>
      <c r="P427" t="s">
        <v>26</v>
      </c>
      <c r="Q427" t="s">
        <v>27</v>
      </c>
      <c r="R427" t="s">
        <v>28</v>
      </c>
      <c r="S427" t="s">
        <v>29</v>
      </c>
      <c r="T427">
        <v>1</v>
      </c>
    </row>
    <row r="428" spans="1:20" x14ac:dyDescent="0.45">
      <c r="A428" t="s">
        <v>21</v>
      </c>
      <c r="B428">
        <v>2023</v>
      </c>
      <c r="C428" t="s">
        <v>56</v>
      </c>
      <c r="D428" s="1">
        <v>45214</v>
      </c>
      <c r="E428" t="s">
        <v>23</v>
      </c>
      <c r="F428" t="s">
        <v>24</v>
      </c>
      <c r="G428">
        <v>48</v>
      </c>
      <c r="N428" s="2" t="s">
        <v>25</v>
      </c>
      <c r="P428" t="s">
        <v>26</v>
      </c>
      <c r="Q428" t="s">
        <v>30</v>
      </c>
      <c r="R428" t="s">
        <v>28</v>
      </c>
      <c r="S428" t="s">
        <v>29</v>
      </c>
      <c r="T428">
        <v>24</v>
      </c>
    </row>
    <row r="429" spans="1:20" x14ac:dyDescent="0.45">
      <c r="A429" t="s">
        <v>21</v>
      </c>
      <c r="B429">
        <v>2023</v>
      </c>
      <c r="C429" t="s">
        <v>56</v>
      </c>
      <c r="D429" s="1">
        <v>45214</v>
      </c>
      <c r="E429" t="s">
        <v>23</v>
      </c>
      <c r="F429" t="s">
        <v>24</v>
      </c>
      <c r="G429">
        <v>48</v>
      </c>
      <c r="N429" s="2" t="s">
        <v>25</v>
      </c>
      <c r="P429" t="s">
        <v>26</v>
      </c>
      <c r="Q429" t="s">
        <v>31</v>
      </c>
      <c r="R429" t="s">
        <v>28</v>
      </c>
      <c r="S429" t="s">
        <v>29</v>
      </c>
      <c r="T429">
        <v>10</v>
      </c>
    </row>
    <row r="430" spans="1:20" x14ac:dyDescent="0.45">
      <c r="A430" t="s">
        <v>21</v>
      </c>
      <c r="B430">
        <v>2023</v>
      </c>
      <c r="C430" t="s">
        <v>56</v>
      </c>
      <c r="D430" s="1">
        <v>45214</v>
      </c>
      <c r="E430" t="s">
        <v>23</v>
      </c>
      <c r="F430" t="s">
        <v>24</v>
      </c>
      <c r="G430">
        <v>48</v>
      </c>
      <c r="N430" s="2" t="s">
        <v>25</v>
      </c>
      <c r="P430" t="s">
        <v>26</v>
      </c>
      <c r="Q430" t="s">
        <v>32</v>
      </c>
      <c r="R430" t="s">
        <v>28</v>
      </c>
      <c r="S430" t="s">
        <v>29</v>
      </c>
      <c r="T430">
        <v>28</v>
      </c>
    </row>
    <row r="431" spans="1:20" x14ac:dyDescent="0.45">
      <c r="A431" t="s">
        <v>21</v>
      </c>
      <c r="B431">
        <v>2023</v>
      </c>
      <c r="C431" t="s">
        <v>56</v>
      </c>
      <c r="D431" s="1">
        <v>45214</v>
      </c>
      <c r="E431" t="s">
        <v>23</v>
      </c>
      <c r="F431" t="s">
        <v>24</v>
      </c>
      <c r="G431">
        <v>48</v>
      </c>
      <c r="N431" s="2" t="s">
        <v>25</v>
      </c>
      <c r="P431" t="s">
        <v>26</v>
      </c>
      <c r="Q431" t="s">
        <v>33</v>
      </c>
      <c r="R431" t="s">
        <v>28</v>
      </c>
      <c r="S431" t="s">
        <v>29</v>
      </c>
      <c r="T431">
        <v>37</v>
      </c>
    </row>
    <row r="432" spans="1:20" x14ac:dyDescent="0.45">
      <c r="A432" t="s">
        <v>21</v>
      </c>
      <c r="B432">
        <v>2023</v>
      </c>
      <c r="C432" t="s">
        <v>57</v>
      </c>
      <c r="D432" s="1">
        <v>45221</v>
      </c>
      <c r="E432" t="s">
        <v>23</v>
      </c>
      <c r="F432" t="s">
        <v>24</v>
      </c>
      <c r="G432">
        <v>48</v>
      </c>
      <c r="N432" s="2" t="s">
        <v>25</v>
      </c>
      <c r="P432" t="s">
        <v>26</v>
      </c>
      <c r="Q432" t="s">
        <v>27</v>
      </c>
      <c r="R432" t="s">
        <v>28</v>
      </c>
      <c r="S432" t="s">
        <v>29</v>
      </c>
      <c r="T432">
        <v>1</v>
      </c>
    </row>
    <row r="433" spans="1:20" x14ac:dyDescent="0.45">
      <c r="A433" t="s">
        <v>21</v>
      </c>
      <c r="B433">
        <v>2023</v>
      </c>
      <c r="C433" t="s">
        <v>57</v>
      </c>
      <c r="D433" s="1">
        <v>45221</v>
      </c>
      <c r="E433" t="s">
        <v>23</v>
      </c>
      <c r="F433" t="s">
        <v>24</v>
      </c>
      <c r="G433">
        <v>48</v>
      </c>
      <c r="N433" s="2" t="s">
        <v>25</v>
      </c>
      <c r="P433" t="s">
        <v>26</v>
      </c>
      <c r="Q433" t="s">
        <v>30</v>
      </c>
      <c r="R433" t="s">
        <v>28</v>
      </c>
      <c r="S433" t="s">
        <v>29</v>
      </c>
      <c r="T433">
        <v>24</v>
      </c>
    </row>
    <row r="434" spans="1:20" x14ac:dyDescent="0.45">
      <c r="A434" t="s">
        <v>21</v>
      </c>
      <c r="B434">
        <v>2023</v>
      </c>
      <c r="C434" t="s">
        <v>57</v>
      </c>
      <c r="D434" s="1">
        <v>45221</v>
      </c>
      <c r="E434" t="s">
        <v>23</v>
      </c>
      <c r="F434" t="s">
        <v>24</v>
      </c>
      <c r="G434">
        <v>48</v>
      </c>
      <c r="N434" s="2" t="s">
        <v>25</v>
      </c>
      <c r="P434" t="s">
        <v>26</v>
      </c>
      <c r="Q434" t="s">
        <v>31</v>
      </c>
      <c r="R434" t="s">
        <v>28</v>
      </c>
      <c r="S434" t="s">
        <v>29</v>
      </c>
      <c r="T434">
        <v>9</v>
      </c>
    </row>
    <row r="435" spans="1:20" x14ac:dyDescent="0.45">
      <c r="A435" t="s">
        <v>21</v>
      </c>
      <c r="B435">
        <v>2023</v>
      </c>
      <c r="C435" t="s">
        <v>57</v>
      </c>
      <c r="D435" s="1">
        <v>45221</v>
      </c>
      <c r="E435" t="s">
        <v>23</v>
      </c>
      <c r="F435" t="s">
        <v>24</v>
      </c>
      <c r="G435">
        <v>48</v>
      </c>
      <c r="N435" s="2" t="s">
        <v>25</v>
      </c>
      <c r="P435" t="s">
        <v>26</v>
      </c>
      <c r="Q435" t="s">
        <v>32</v>
      </c>
      <c r="R435" t="s">
        <v>28</v>
      </c>
      <c r="S435" t="s">
        <v>29</v>
      </c>
      <c r="T435">
        <v>27</v>
      </c>
    </row>
    <row r="436" spans="1:20" x14ac:dyDescent="0.45">
      <c r="A436" t="s">
        <v>21</v>
      </c>
      <c r="B436">
        <v>2023</v>
      </c>
      <c r="C436" t="s">
        <v>57</v>
      </c>
      <c r="D436" s="1">
        <v>45221</v>
      </c>
      <c r="E436" t="s">
        <v>23</v>
      </c>
      <c r="F436" t="s">
        <v>24</v>
      </c>
      <c r="G436">
        <v>48</v>
      </c>
      <c r="N436" s="2" t="s">
        <v>25</v>
      </c>
      <c r="P436" t="s">
        <v>26</v>
      </c>
      <c r="Q436" t="s">
        <v>33</v>
      </c>
      <c r="R436" t="s">
        <v>28</v>
      </c>
      <c r="S436" t="s">
        <v>29</v>
      </c>
      <c r="T436">
        <v>39</v>
      </c>
    </row>
    <row r="437" spans="1:20" x14ac:dyDescent="0.45">
      <c r="A437" t="s">
        <v>21</v>
      </c>
      <c r="B437">
        <v>2023</v>
      </c>
      <c r="C437" t="s">
        <v>58</v>
      </c>
      <c r="D437" s="1">
        <v>45228</v>
      </c>
      <c r="E437" t="s">
        <v>23</v>
      </c>
      <c r="F437" t="s">
        <v>24</v>
      </c>
      <c r="G437">
        <v>48</v>
      </c>
      <c r="N437" s="2" t="s">
        <v>25</v>
      </c>
      <c r="P437" t="s">
        <v>26</v>
      </c>
      <c r="Q437" t="s">
        <v>27</v>
      </c>
      <c r="R437" t="s">
        <v>28</v>
      </c>
      <c r="S437" t="s">
        <v>29</v>
      </c>
      <c r="T437">
        <v>1</v>
      </c>
    </row>
    <row r="438" spans="1:20" x14ac:dyDescent="0.45">
      <c r="A438" t="s">
        <v>21</v>
      </c>
      <c r="B438">
        <v>2023</v>
      </c>
      <c r="C438" t="s">
        <v>58</v>
      </c>
      <c r="D438" s="1">
        <v>45228</v>
      </c>
      <c r="E438" t="s">
        <v>23</v>
      </c>
      <c r="F438" t="s">
        <v>24</v>
      </c>
      <c r="G438">
        <v>48</v>
      </c>
      <c r="N438" s="2" t="s">
        <v>25</v>
      </c>
      <c r="P438" t="s">
        <v>26</v>
      </c>
      <c r="Q438" t="s">
        <v>30</v>
      </c>
      <c r="R438" t="s">
        <v>28</v>
      </c>
      <c r="S438" t="s">
        <v>29</v>
      </c>
      <c r="T438">
        <v>25</v>
      </c>
    </row>
    <row r="439" spans="1:20" x14ac:dyDescent="0.45">
      <c r="A439" t="s">
        <v>21</v>
      </c>
      <c r="B439">
        <v>2023</v>
      </c>
      <c r="C439" t="s">
        <v>58</v>
      </c>
      <c r="D439" s="1">
        <v>45228</v>
      </c>
      <c r="E439" t="s">
        <v>23</v>
      </c>
      <c r="F439" t="s">
        <v>24</v>
      </c>
      <c r="G439">
        <v>48</v>
      </c>
      <c r="N439" s="2" t="s">
        <v>25</v>
      </c>
      <c r="P439" t="s">
        <v>26</v>
      </c>
      <c r="Q439" t="s">
        <v>31</v>
      </c>
      <c r="R439" t="s">
        <v>28</v>
      </c>
      <c r="S439" t="s">
        <v>29</v>
      </c>
      <c r="T439">
        <v>9</v>
      </c>
    </row>
    <row r="440" spans="1:20" x14ac:dyDescent="0.45">
      <c r="A440" t="s">
        <v>21</v>
      </c>
      <c r="B440">
        <v>2023</v>
      </c>
      <c r="C440" t="s">
        <v>58</v>
      </c>
      <c r="D440" s="1">
        <v>45228</v>
      </c>
      <c r="E440" t="s">
        <v>23</v>
      </c>
      <c r="F440" t="s">
        <v>24</v>
      </c>
      <c r="G440">
        <v>48</v>
      </c>
      <c r="N440" s="2" t="s">
        <v>25</v>
      </c>
      <c r="P440" t="s">
        <v>26</v>
      </c>
      <c r="Q440" t="s">
        <v>32</v>
      </c>
      <c r="R440" t="s">
        <v>28</v>
      </c>
      <c r="S440" t="s">
        <v>29</v>
      </c>
      <c r="T440">
        <v>27</v>
      </c>
    </row>
    <row r="441" spans="1:20" x14ac:dyDescent="0.45">
      <c r="A441" t="s">
        <v>21</v>
      </c>
      <c r="B441">
        <v>2023</v>
      </c>
      <c r="C441" t="s">
        <v>58</v>
      </c>
      <c r="D441" s="1">
        <v>45228</v>
      </c>
      <c r="E441" t="s">
        <v>23</v>
      </c>
      <c r="F441" t="s">
        <v>24</v>
      </c>
      <c r="G441">
        <v>48</v>
      </c>
      <c r="N441" s="2" t="s">
        <v>25</v>
      </c>
      <c r="P441" t="s">
        <v>26</v>
      </c>
      <c r="Q441" t="s">
        <v>33</v>
      </c>
      <c r="R441" t="s">
        <v>28</v>
      </c>
      <c r="S441" t="s">
        <v>29</v>
      </c>
      <c r="T441">
        <v>38</v>
      </c>
    </row>
    <row r="442" spans="1:20" x14ac:dyDescent="0.45">
      <c r="A442" t="s">
        <v>21</v>
      </c>
      <c r="B442">
        <v>2023</v>
      </c>
      <c r="C442" t="s">
        <v>59</v>
      </c>
      <c r="D442" s="1">
        <v>45235</v>
      </c>
      <c r="E442" t="s">
        <v>23</v>
      </c>
      <c r="F442" t="s">
        <v>24</v>
      </c>
      <c r="G442">
        <v>48</v>
      </c>
      <c r="N442" s="2" t="s">
        <v>25</v>
      </c>
      <c r="P442" t="s">
        <v>26</v>
      </c>
      <c r="Q442" t="s">
        <v>27</v>
      </c>
      <c r="R442" t="s">
        <v>28</v>
      </c>
      <c r="S442" t="s">
        <v>29</v>
      </c>
      <c r="T442">
        <v>0</v>
      </c>
    </row>
    <row r="443" spans="1:20" x14ac:dyDescent="0.45">
      <c r="A443" t="s">
        <v>21</v>
      </c>
      <c r="B443">
        <v>2023</v>
      </c>
      <c r="C443" t="s">
        <v>59</v>
      </c>
      <c r="D443" s="1">
        <v>45235</v>
      </c>
      <c r="E443" t="s">
        <v>23</v>
      </c>
      <c r="F443" t="s">
        <v>24</v>
      </c>
      <c r="G443">
        <v>48</v>
      </c>
      <c r="N443" s="2" t="s">
        <v>25</v>
      </c>
      <c r="P443" t="s">
        <v>26</v>
      </c>
      <c r="Q443" t="s">
        <v>30</v>
      </c>
      <c r="R443" t="s">
        <v>28</v>
      </c>
      <c r="S443" t="s">
        <v>29</v>
      </c>
      <c r="T443">
        <v>21</v>
      </c>
    </row>
    <row r="444" spans="1:20" x14ac:dyDescent="0.45">
      <c r="A444" t="s">
        <v>21</v>
      </c>
      <c r="B444">
        <v>2023</v>
      </c>
      <c r="C444" t="s">
        <v>59</v>
      </c>
      <c r="D444" s="1">
        <v>45235</v>
      </c>
      <c r="E444" t="s">
        <v>23</v>
      </c>
      <c r="F444" t="s">
        <v>24</v>
      </c>
      <c r="G444">
        <v>48</v>
      </c>
      <c r="N444" s="2" t="s">
        <v>25</v>
      </c>
      <c r="P444" t="s">
        <v>26</v>
      </c>
      <c r="Q444" t="s">
        <v>31</v>
      </c>
      <c r="R444" t="s">
        <v>28</v>
      </c>
      <c r="S444" t="s">
        <v>29</v>
      </c>
      <c r="T444">
        <v>8</v>
      </c>
    </row>
    <row r="445" spans="1:20" x14ac:dyDescent="0.45">
      <c r="A445" t="s">
        <v>21</v>
      </c>
      <c r="B445">
        <v>2023</v>
      </c>
      <c r="C445" t="s">
        <v>59</v>
      </c>
      <c r="D445" s="1">
        <v>45235</v>
      </c>
      <c r="E445" t="s">
        <v>23</v>
      </c>
      <c r="F445" t="s">
        <v>24</v>
      </c>
      <c r="G445">
        <v>48</v>
      </c>
      <c r="N445" s="2" t="s">
        <v>25</v>
      </c>
      <c r="P445" t="s">
        <v>26</v>
      </c>
      <c r="Q445" t="s">
        <v>32</v>
      </c>
      <c r="R445" t="s">
        <v>28</v>
      </c>
      <c r="S445" t="s">
        <v>29</v>
      </c>
      <c r="T445">
        <v>32</v>
      </c>
    </row>
    <row r="446" spans="1:20" x14ac:dyDescent="0.45">
      <c r="A446" t="s">
        <v>21</v>
      </c>
      <c r="B446">
        <v>2023</v>
      </c>
      <c r="C446" t="s">
        <v>59</v>
      </c>
      <c r="D446" s="1">
        <v>45235</v>
      </c>
      <c r="E446" t="s">
        <v>23</v>
      </c>
      <c r="F446" t="s">
        <v>24</v>
      </c>
      <c r="G446">
        <v>48</v>
      </c>
      <c r="N446" s="2" t="s">
        <v>25</v>
      </c>
      <c r="P446" t="s">
        <v>26</v>
      </c>
      <c r="Q446" t="s">
        <v>33</v>
      </c>
      <c r="R446" t="s">
        <v>28</v>
      </c>
      <c r="S446" t="s">
        <v>29</v>
      </c>
      <c r="T446">
        <v>39</v>
      </c>
    </row>
    <row r="447" spans="1:20" x14ac:dyDescent="0.45">
      <c r="A447" t="s">
        <v>21</v>
      </c>
      <c r="B447">
        <v>2023</v>
      </c>
      <c r="C447" t="s">
        <v>60</v>
      </c>
      <c r="D447" s="1">
        <v>45242</v>
      </c>
      <c r="E447" t="s">
        <v>23</v>
      </c>
      <c r="F447" t="s">
        <v>24</v>
      </c>
      <c r="G447">
        <v>48</v>
      </c>
      <c r="N447" s="2" t="s">
        <v>25</v>
      </c>
      <c r="P447" t="s">
        <v>26</v>
      </c>
      <c r="Q447" t="s">
        <v>27</v>
      </c>
      <c r="R447" t="s">
        <v>28</v>
      </c>
      <c r="S447" t="s">
        <v>29</v>
      </c>
      <c r="T447">
        <v>1</v>
      </c>
    </row>
    <row r="448" spans="1:20" x14ac:dyDescent="0.45">
      <c r="A448" t="s">
        <v>21</v>
      </c>
      <c r="B448">
        <v>2023</v>
      </c>
      <c r="C448" t="s">
        <v>60</v>
      </c>
      <c r="D448" s="1">
        <v>45242</v>
      </c>
      <c r="E448" t="s">
        <v>23</v>
      </c>
      <c r="F448" t="s">
        <v>24</v>
      </c>
      <c r="G448">
        <v>48</v>
      </c>
      <c r="N448" s="2" t="s">
        <v>25</v>
      </c>
      <c r="P448" t="s">
        <v>26</v>
      </c>
      <c r="Q448" t="s">
        <v>30</v>
      </c>
      <c r="R448" t="s">
        <v>28</v>
      </c>
      <c r="S448" t="s">
        <v>29</v>
      </c>
      <c r="T448">
        <v>24</v>
      </c>
    </row>
    <row r="449" spans="1:20" x14ac:dyDescent="0.45">
      <c r="A449" t="s">
        <v>21</v>
      </c>
      <c r="B449">
        <v>2023</v>
      </c>
      <c r="C449" t="s">
        <v>60</v>
      </c>
      <c r="D449" s="1">
        <v>45242</v>
      </c>
      <c r="E449" t="s">
        <v>23</v>
      </c>
      <c r="F449" t="s">
        <v>24</v>
      </c>
      <c r="G449">
        <v>48</v>
      </c>
      <c r="N449" s="2" t="s">
        <v>25</v>
      </c>
      <c r="P449" t="s">
        <v>26</v>
      </c>
      <c r="Q449" t="s">
        <v>31</v>
      </c>
      <c r="R449" t="s">
        <v>28</v>
      </c>
      <c r="S449" t="s">
        <v>29</v>
      </c>
      <c r="T449">
        <v>9</v>
      </c>
    </row>
    <row r="450" spans="1:20" x14ac:dyDescent="0.45">
      <c r="A450" t="s">
        <v>21</v>
      </c>
      <c r="B450">
        <v>2023</v>
      </c>
      <c r="C450" t="s">
        <v>60</v>
      </c>
      <c r="D450" s="1">
        <v>45242</v>
      </c>
      <c r="E450" t="s">
        <v>23</v>
      </c>
      <c r="F450" t="s">
        <v>24</v>
      </c>
      <c r="G450">
        <v>48</v>
      </c>
      <c r="N450" s="2" t="s">
        <v>25</v>
      </c>
      <c r="P450" t="s">
        <v>26</v>
      </c>
      <c r="Q450" t="s">
        <v>32</v>
      </c>
      <c r="R450" t="s">
        <v>28</v>
      </c>
      <c r="S450" t="s">
        <v>29</v>
      </c>
      <c r="T450">
        <v>28</v>
      </c>
    </row>
    <row r="451" spans="1:20" x14ac:dyDescent="0.45">
      <c r="A451" t="s">
        <v>21</v>
      </c>
      <c r="B451">
        <v>2023</v>
      </c>
      <c r="C451" t="s">
        <v>60</v>
      </c>
      <c r="D451" s="1">
        <v>45242</v>
      </c>
      <c r="E451" t="s">
        <v>23</v>
      </c>
      <c r="F451" t="s">
        <v>24</v>
      </c>
      <c r="G451">
        <v>48</v>
      </c>
      <c r="N451" s="2" t="s">
        <v>25</v>
      </c>
      <c r="P451" t="s">
        <v>26</v>
      </c>
      <c r="Q451" t="s">
        <v>33</v>
      </c>
      <c r="R451" t="s">
        <v>28</v>
      </c>
      <c r="S451" t="s">
        <v>29</v>
      </c>
      <c r="T451">
        <v>38</v>
      </c>
    </row>
    <row r="452" spans="1:20" x14ac:dyDescent="0.45">
      <c r="A452" t="s">
        <v>21</v>
      </c>
      <c r="B452">
        <v>2023</v>
      </c>
      <c r="C452" t="s">
        <v>54</v>
      </c>
      <c r="D452" s="1">
        <v>45256</v>
      </c>
      <c r="E452" t="s">
        <v>23</v>
      </c>
      <c r="F452" t="s">
        <v>24</v>
      </c>
      <c r="G452">
        <v>48</v>
      </c>
      <c r="N452" s="2" t="s">
        <v>25</v>
      </c>
      <c r="P452" t="s">
        <v>26</v>
      </c>
      <c r="Q452" t="s">
        <v>27</v>
      </c>
      <c r="R452" t="s">
        <v>28</v>
      </c>
      <c r="S452" t="s">
        <v>29</v>
      </c>
      <c r="T452">
        <v>1</v>
      </c>
    </row>
    <row r="453" spans="1:20" x14ac:dyDescent="0.45">
      <c r="A453" t="s">
        <v>21</v>
      </c>
      <c r="B453">
        <v>2023</v>
      </c>
      <c r="C453" t="s">
        <v>54</v>
      </c>
      <c r="D453" s="1">
        <v>45256</v>
      </c>
      <c r="E453" t="s">
        <v>23</v>
      </c>
      <c r="F453" t="s">
        <v>24</v>
      </c>
      <c r="G453">
        <v>48</v>
      </c>
      <c r="N453" s="2" t="s">
        <v>25</v>
      </c>
      <c r="P453" t="s">
        <v>26</v>
      </c>
      <c r="Q453" t="s">
        <v>30</v>
      </c>
      <c r="R453" t="s">
        <v>28</v>
      </c>
      <c r="S453" t="s">
        <v>29</v>
      </c>
      <c r="T453">
        <v>24</v>
      </c>
    </row>
    <row r="454" spans="1:20" x14ac:dyDescent="0.45">
      <c r="A454" t="s">
        <v>21</v>
      </c>
      <c r="B454">
        <v>2023</v>
      </c>
      <c r="C454" t="s">
        <v>54</v>
      </c>
      <c r="D454" s="1">
        <v>45256</v>
      </c>
      <c r="E454" t="s">
        <v>23</v>
      </c>
      <c r="F454" t="s">
        <v>24</v>
      </c>
      <c r="G454">
        <v>48</v>
      </c>
      <c r="N454" s="2" t="s">
        <v>25</v>
      </c>
      <c r="P454" t="s">
        <v>26</v>
      </c>
      <c r="Q454" t="s">
        <v>31</v>
      </c>
      <c r="R454" t="s">
        <v>28</v>
      </c>
      <c r="S454" t="s">
        <v>29</v>
      </c>
      <c r="T454">
        <v>9</v>
      </c>
    </row>
    <row r="455" spans="1:20" x14ac:dyDescent="0.45">
      <c r="A455" t="s">
        <v>21</v>
      </c>
      <c r="B455">
        <v>2023</v>
      </c>
      <c r="C455" t="s">
        <v>54</v>
      </c>
      <c r="D455" s="1">
        <v>45256</v>
      </c>
      <c r="E455" t="s">
        <v>23</v>
      </c>
      <c r="F455" t="s">
        <v>24</v>
      </c>
      <c r="G455">
        <v>48</v>
      </c>
      <c r="N455" s="2" t="s">
        <v>25</v>
      </c>
      <c r="P455" t="s">
        <v>26</v>
      </c>
      <c r="Q455" t="s">
        <v>32</v>
      </c>
      <c r="R455" t="s">
        <v>28</v>
      </c>
      <c r="S455" t="s">
        <v>29</v>
      </c>
      <c r="T455">
        <v>38</v>
      </c>
    </row>
    <row r="456" spans="1:20" x14ac:dyDescent="0.45">
      <c r="A456" t="s">
        <v>21</v>
      </c>
      <c r="B456">
        <v>2023</v>
      </c>
      <c r="C456" t="s">
        <v>54</v>
      </c>
      <c r="D456" s="1">
        <v>45256</v>
      </c>
      <c r="E456" t="s">
        <v>23</v>
      </c>
      <c r="F456" t="s">
        <v>24</v>
      </c>
      <c r="G456">
        <v>48</v>
      </c>
      <c r="N456" s="2" t="s">
        <v>25</v>
      </c>
      <c r="P456" t="s">
        <v>26</v>
      </c>
      <c r="Q456" t="s">
        <v>33</v>
      </c>
      <c r="R456" t="s">
        <v>28</v>
      </c>
      <c r="S456" t="s">
        <v>29</v>
      </c>
      <c r="T456">
        <v>28</v>
      </c>
    </row>
    <row r="457" spans="1:20" x14ac:dyDescent="0.45">
      <c r="A457" t="s">
        <v>21</v>
      </c>
      <c r="B457">
        <v>2023</v>
      </c>
      <c r="C457" t="s">
        <v>61</v>
      </c>
      <c r="D457" s="1">
        <v>45291</v>
      </c>
      <c r="E457" t="s">
        <v>23</v>
      </c>
      <c r="F457" t="s">
        <v>24</v>
      </c>
      <c r="G457">
        <v>48</v>
      </c>
      <c r="N457" s="2" t="s">
        <v>25</v>
      </c>
      <c r="P457" t="s">
        <v>26</v>
      </c>
      <c r="Q457" t="s">
        <v>27</v>
      </c>
      <c r="R457" t="s">
        <v>28</v>
      </c>
      <c r="S457" t="s">
        <v>29</v>
      </c>
      <c r="T457">
        <v>0</v>
      </c>
    </row>
    <row r="458" spans="1:20" x14ac:dyDescent="0.45">
      <c r="A458" t="s">
        <v>21</v>
      </c>
      <c r="B458">
        <v>2023</v>
      </c>
      <c r="C458" t="s">
        <v>61</v>
      </c>
      <c r="D458" s="1">
        <v>45291</v>
      </c>
      <c r="E458" t="s">
        <v>23</v>
      </c>
      <c r="F458" t="s">
        <v>24</v>
      </c>
      <c r="G458">
        <v>48</v>
      </c>
      <c r="N458" s="2" t="s">
        <v>25</v>
      </c>
      <c r="P458" t="s">
        <v>26</v>
      </c>
      <c r="Q458" t="s">
        <v>30</v>
      </c>
      <c r="R458" t="s">
        <v>28</v>
      </c>
      <c r="S458" t="s">
        <v>29</v>
      </c>
      <c r="T458">
        <v>22</v>
      </c>
    </row>
    <row r="459" spans="1:20" x14ac:dyDescent="0.45">
      <c r="A459" t="s">
        <v>21</v>
      </c>
      <c r="B459">
        <v>2023</v>
      </c>
      <c r="C459" t="s">
        <v>61</v>
      </c>
      <c r="D459" s="1">
        <v>45291</v>
      </c>
      <c r="E459" t="s">
        <v>23</v>
      </c>
      <c r="F459" t="s">
        <v>24</v>
      </c>
      <c r="G459">
        <v>48</v>
      </c>
      <c r="N459" s="2" t="s">
        <v>25</v>
      </c>
      <c r="P459" t="s">
        <v>26</v>
      </c>
      <c r="Q459" t="s">
        <v>31</v>
      </c>
      <c r="R459" t="s">
        <v>28</v>
      </c>
      <c r="S459" t="s">
        <v>29</v>
      </c>
      <c r="T459">
        <v>11</v>
      </c>
    </row>
    <row r="460" spans="1:20" x14ac:dyDescent="0.45">
      <c r="A460" t="s">
        <v>21</v>
      </c>
      <c r="B460">
        <v>2023</v>
      </c>
      <c r="C460" t="s">
        <v>61</v>
      </c>
      <c r="D460" s="1">
        <v>45291</v>
      </c>
      <c r="E460" t="s">
        <v>23</v>
      </c>
      <c r="F460" t="s">
        <v>24</v>
      </c>
      <c r="G460">
        <v>48</v>
      </c>
      <c r="N460" s="2" t="s">
        <v>25</v>
      </c>
      <c r="P460" t="s">
        <v>26</v>
      </c>
      <c r="Q460" t="s">
        <v>32</v>
      </c>
      <c r="R460" t="s">
        <v>28</v>
      </c>
      <c r="S460" t="s">
        <v>29</v>
      </c>
      <c r="T460">
        <v>27</v>
      </c>
    </row>
    <row r="461" spans="1:20" x14ac:dyDescent="0.45">
      <c r="A461" t="s">
        <v>21</v>
      </c>
      <c r="B461">
        <v>2023</v>
      </c>
      <c r="C461" t="s">
        <v>61</v>
      </c>
      <c r="D461" s="1">
        <v>45291</v>
      </c>
      <c r="E461" t="s">
        <v>23</v>
      </c>
      <c r="F461" t="s">
        <v>24</v>
      </c>
      <c r="G461">
        <v>48</v>
      </c>
      <c r="N461" s="2" t="s">
        <v>25</v>
      </c>
      <c r="P461" t="s">
        <v>26</v>
      </c>
      <c r="Q461" t="s">
        <v>33</v>
      </c>
      <c r="R461" t="s">
        <v>28</v>
      </c>
      <c r="S461" t="s">
        <v>29</v>
      </c>
      <c r="T461">
        <v>40</v>
      </c>
    </row>
    <row r="462" spans="1:20" x14ac:dyDescent="0.45">
      <c r="A462" t="s">
        <v>21</v>
      </c>
      <c r="B462">
        <v>2022</v>
      </c>
      <c r="C462" t="s">
        <v>50</v>
      </c>
      <c r="D462" s="1">
        <v>44710</v>
      </c>
      <c r="E462" t="s">
        <v>23</v>
      </c>
      <c r="F462" t="s">
        <v>24</v>
      </c>
      <c r="G462">
        <v>48</v>
      </c>
      <c r="N462" s="2" t="s">
        <v>25</v>
      </c>
      <c r="P462" t="s">
        <v>26</v>
      </c>
      <c r="Q462" t="s">
        <v>27</v>
      </c>
      <c r="R462" t="s">
        <v>28</v>
      </c>
      <c r="S462" t="s">
        <v>29</v>
      </c>
      <c r="T462">
        <v>1</v>
      </c>
    </row>
    <row r="463" spans="1:20" x14ac:dyDescent="0.45">
      <c r="A463" t="s">
        <v>21</v>
      </c>
      <c r="B463">
        <v>2022</v>
      </c>
      <c r="C463" t="s">
        <v>50</v>
      </c>
      <c r="D463" s="1">
        <v>44710</v>
      </c>
      <c r="E463" t="s">
        <v>23</v>
      </c>
      <c r="F463" t="s">
        <v>24</v>
      </c>
      <c r="G463">
        <v>48</v>
      </c>
      <c r="N463" s="2" t="s">
        <v>25</v>
      </c>
      <c r="P463" t="s">
        <v>26</v>
      </c>
      <c r="Q463" t="s">
        <v>30</v>
      </c>
      <c r="R463" t="s">
        <v>28</v>
      </c>
      <c r="S463" t="s">
        <v>29</v>
      </c>
      <c r="T463">
        <v>51</v>
      </c>
    </row>
    <row r="464" spans="1:20" x14ac:dyDescent="0.45">
      <c r="A464" t="s">
        <v>21</v>
      </c>
      <c r="B464">
        <v>2022</v>
      </c>
      <c r="C464" t="s">
        <v>50</v>
      </c>
      <c r="D464" s="1">
        <v>44710</v>
      </c>
      <c r="E464" t="s">
        <v>23</v>
      </c>
      <c r="F464" t="s">
        <v>24</v>
      </c>
      <c r="G464">
        <v>48</v>
      </c>
      <c r="N464" s="2" t="s">
        <v>25</v>
      </c>
      <c r="P464" t="s">
        <v>26</v>
      </c>
      <c r="Q464" t="s">
        <v>31</v>
      </c>
      <c r="R464" t="s">
        <v>28</v>
      </c>
      <c r="S464" t="s">
        <v>29</v>
      </c>
      <c r="T464">
        <v>19</v>
      </c>
    </row>
    <row r="465" spans="1:20" x14ac:dyDescent="0.45">
      <c r="A465" t="s">
        <v>21</v>
      </c>
      <c r="B465">
        <v>2022</v>
      </c>
      <c r="C465" t="s">
        <v>50</v>
      </c>
      <c r="D465" s="1">
        <v>44710</v>
      </c>
      <c r="E465" t="s">
        <v>23</v>
      </c>
      <c r="F465" t="s">
        <v>24</v>
      </c>
      <c r="G465">
        <v>48</v>
      </c>
      <c r="N465" s="2" t="s">
        <v>25</v>
      </c>
      <c r="P465" t="s">
        <v>26</v>
      </c>
      <c r="Q465" t="s">
        <v>32</v>
      </c>
      <c r="R465" t="s">
        <v>28</v>
      </c>
      <c r="S465" t="s">
        <v>29</v>
      </c>
      <c r="T465">
        <v>25</v>
      </c>
    </row>
    <row r="466" spans="1:20" x14ac:dyDescent="0.45">
      <c r="A466" t="s">
        <v>21</v>
      </c>
      <c r="B466">
        <v>2022</v>
      </c>
      <c r="C466" t="s">
        <v>50</v>
      </c>
      <c r="D466" s="1">
        <v>44710</v>
      </c>
      <c r="E466" t="s">
        <v>23</v>
      </c>
      <c r="F466" t="s">
        <v>24</v>
      </c>
      <c r="G466">
        <v>48</v>
      </c>
      <c r="N466" s="2" t="s">
        <v>25</v>
      </c>
      <c r="P466" t="s">
        <v>26</v>
      </c>
      <c r="Q466" t="s">
        <v>33</v>
      </c>
      <c r="R466" t="s">
        <v>28</v>
      </c>
      <c r="S466" t="s">
        <v>29</v>
      </c>
      <c r="T466">
        <v>4</v>
      </c>
    </row>
    <row r="467" spans="1:20" x14ac:dyDescent="0.45">
      <c r="A467" t="s">
        <v>21</v>
      </c>
      <c r="B467">
        <v>2022</v>
      </c>
      <c r="C467" t="s">
        <v>51</v>
      </c>
      <c r="D467" s="1">
        <v>44717</v>
      </c>
      <c r="E467" t="s">
        <v>23</v>
      </c>
      <c r="F467" t="s">
        <v>24</v>
      </c>
      <c r="G467">
        <v>48</v>
      </c>
      <c r="N467" s="2" t="s">
        <v>25</v>
      </c>
      <c r="P467" t="s">
        <v>26</v>
      </c>
      <c r="Q467" t="s">
        <v>27</v>
      </c>
      <c r="R467" t="s">
        <v>28</v>
      </c>
      <c r="S467" t="s">
        <v>29</v>
      </c>
      <c r="T467">
        <v>1</v>
      </c>
    </row>
    <row r="468" spans="1:20" x14ac:dyDescent="0.45">
      <c r="A468" t="s">
        <v>21</v>
      </c>
      <c r="B468">
        <v>2022</v>
      </c>
      <c r="C468" t="s">
        <v>51</v>
      </c>
      <c r="D468" s="1">
        <v>44717</v>
      </c>
      <c r="E468" t="s">
        <v>23</v>
      </c>
      <c r="F468" t="s">
        <v>24</v>
      </c>
      <c r="G468">
        <v>48</v>
      </c>
      <c r="N468" s="2" t="s">
        <v>25</v>
      </c>
      <c r="P468" t="s">
        <v>26</v>
      </c>
      <c r="Q468" t="s">
        <v>30</v>
      </c>
      <c r="R468" t="s">
        <v>28</v>
      </c>
      <c r="S468" t="s">
        <v>29</v>
      </c>
      <c r="T468">
        <v>51</v>
      </c>
    </row>
    <row r="469" spans="1:20" x14ac:dyDescent="0.45">
      <c r="A469" t="s">
        <v>21</v>
      </c>
      <c r="B469">
        <v>2022</v>
      </c>
      <c r="C469" t="s">
        <v>51</v>
      </c>
      <c r="D469" s="1">
        <v>44717</v>
      </c>
      <c r="E469" t="s">
        <v>23</v>
      </c>
      <c r="F469" t="s">
        <v>24</v>
      </c>
      <c r="G469">
        <v>48</v>
      </c>
      <c r="N469" s="2" t="s">
        <v>25</v>
      </c>
      <c r="P469" t="s">
        <v>26</v>
      </c>
      <c r="Q469" t="s">
        <v>31</v>
      </c>
      <c r="R469" t="s">
        <v>28</v>
      </c>
      <c r="S469" t="s">
        <v>29</v>
      </c>
      <c r="T469">
        <v>26</v>
      </c>
    </row>
    <row r="470" spans="1:20" x14ac:dyDescent="0.45">
      <c r="A470" t="s">
        <v>21</v>
      </c>
      <c r="B470">
        <v>2022</v>
      </c>
      <c r="C470" t="s">
        <v>51</v>
      </c>
      <c r="D470" s="1">
        <v>44717</v>
      </c>
      <c r="E470" t="s">
        <v>23</v>
      </c>
      <c r="F470" t="s">
        <v>24</v>
      </c>
      <c r="G470">
        <v>48</v>
      </c>
      <c r="N470" s="2" t="s">
        <v>25</v>
      </c>
      <c r="P470" t="s">
        <v>26</v>
      </c>
      <c r="Q470" t="s">
        <v>32</v>
      </c>
      <c r="R470" t="s">
        <v>28</v>
      </c>
      <c r="S470" t="s">
        <v>29</v>
      </c>
      <c r="T470">
        <v>20</v>
      </c>
    </row>
    <row r="471" spans="1:20" x14ac:dyDescent="0.45">
      <c r="A471" t="s">
        <v>21</v>
      </c>
      <c r="B471">
        <v>2022</v>
      </c>
      <c r="C471" t="s">
        <v>51</v>
      </c>
      <c r="D471" s="1">
        <v>44717</v>
      </c>
      <c r="E471" t="s">
        <v>23</v>
      </c>
      <c r="F471" t="s">
        <v>24</v>
      </c>
      <c r="G471">
        <v>48</v>
      </c>
      <c r="N471" s="2" t="s">
        <v>25</v>
      </c>
      <c r="P471" t="s">
        <v>26</v>
      </c>
      <c r="Q471" t="s">
        <v>33</v>
      </c>
      <c r="R471" t="s">
        <v>28</v>
      </c>
      <c r="S471" t="s">
        <v>29</v>
      </c>
      <c r="T471">
        <v>2</v>
      </c>
    </row>
    <row r="472" spans="1:20" x14ac:dyDescent="0.45">
      <c r="A472" t="s">
        <v>21</v>
      </c>
      <c r="B472">
        <v>2022</v>
      </c>
      <c r="C472" t="s">
        <v>22</v>
      </c>
      <c r="D472" s="1">
        <v>44724</v>
      </c>
      <c r="E472" t="s">
        <v>23</v>
      </c>
      <c r="F472" t="s">
        <v>24</v>
      </c>
      <c r="G472">
        <v>48</v>
      </c>
      <c r="N472" s="2" t="s">
        <v>25</v>
      </c>
      <c r="P472" t="s">
        <v>26</v>
      </c>
      <c r="Q472" t="s">
        <v>27</v>
      </c>
      <c r="R472" t="s">
        <v>28</v>
      </c>
      <c r="S472" t="s">
        <v>29</v>
      </c>
      <c r="T472">
        <v>1</v>
      </c>
    </row>
    <row r="473" spans="1:20" x14ac:dyDescent="0.45">
      <c r="A473" t="s">
        <v>21</v>
      </c>
      <c r="B473">
        <v>2022</v>
      </c>
      <c r="C473" t="s">
        <v>22</v>
      </c>
      <c r="D473" s="1">
        <v>44724</v>
      </c>
      <c r="E473" t="s">
        <v>23</v>
      </c>
      <c r="F473" t="s">
        <v>24</v>
      </c>
      <c r="G473">
        <v>48</v>
      </c>
      <c r="N473" s="2" t="s">
        <v>25</v>
      </c>
      <c r="P473" t="s">
        <v>26</v>
      </c>
      <c r="Q473" t="s">
        <v>30</v>
      </c>
      <c r="R473" t="s">
        <v>28</v>
      </c>
      <c r="S473" t="s">
        <v>29</v>
      </c>
      <c r="T473">
        <v>46</v>
      </c>
    </row>
    <row r="474" spans="1:20" x14ac:dyDescent="0.45">
      <c r="A474" t="s">
        <v>21</v>
      </c>
      <c r="B474">
        <v>2022</v>
      </c>
      <c r="C474" t="s">
        <v>22</v>
      </c>
      <c r="D474" s="1">
        <v>44724</v>
      </c>
      <c r="E474" t="s">
        <v>23</v>
      </c>
      <c r="F474" t="s">
        <v>24</v>
      </c>
      <c r="G474">
        <v>48</v>
      </c>
      <c r="N474" s="2" t="s">
        <v>25</v>
      </c>
      <c r="P474" t="s">
        <v>26</v>
      </c>
      <c r="Q474" t="s">
        <v>31</v>
      </c>
      <c r="R474" t="s">
        <v>28</v>
      </c>
      <c r="S474" t="s">
        <v>29</v>
      </c>
      <c r="T474">
        <v>24</v>
      </c>
    </row>
    <row r="475" spans="1:20" x14ac:dyDescent="0.45">
      <c r="A475" t="s">
        <v>21</v>
      </c>
      <c r="B475">
        <v>2022</v>
      </c>
      <c r="C475" t="s">
        <v>22</v>
      </c>
      <c r="D475" s="1">
        <v>44724</v>
      </c>
      <c r="E475" t="s">
        <v>23</v>
      </c>
      <c r="F475" t="s">
        <v>24</v>
      </c>
      <c r="G475">
        <v>48</v>
      </c>
      <c r="N475" s="2" t="s">
        <v>25</v>
      </c>
      <c r="P475" t="s">
        <v>26</v>
      </c>
      <c r="Q475" t="s">
        <v>32</v>
      </c>
      <c r="R475" t="s">
        <v>28</v>
      </c>
      <c r="S475" t="s">
        <v>29</v>
      </c>
      <c r="T475">
        <v>25</v>
      </c>
    </row>
    <row r="476" spans="1:20" x14ac:dyDescent="0.45">
      <c r="A476" t="s">
        <v>21</v>
      </c>
      <c r="B476">
        <v>2022</v>
      </c>
      <c r="C476" t="s">
        <v>22</v>
      </c>
      <c r="D476" s="1">
        <v>44724</v>
      </c>
      <c r="E476" t="s">
        <v>23</v>
      </c>
      <c r="F476" t="s">
        <v>24</v>
      </c>
      <c r="G476">
        <v>48</v>
      </c>
      <c r="N476" s="2" t="s">
        <v>25</v>
      </c>
      <c r="P476" t="s">
        <v>26</v>
      </c>
      <c r="Q476" t="s">
        <v>33</v>
      </c>
      <c r="R476" t="s">
        <v>28</v>
      </c>
      <c r="S476" t="s">
        <v>29</v>
      </c>
      <c r="T476">
        <v>4</v>
      </c>
    </row>
    <row r="477" spans="1:20" x14ac:dyDescent="0.45">
      <c r="A477" t="s">
        <v>21</v>
      </c>
      <c r="B477">
        <v>2022</v>
      </c>
      <c r="C477" t="s">
        <v>34</v>
      </c>
      <c r="D477" s="1">
        <v>44731</v>
      </c>
      <c r="E477" t="s">
        <v>23</v>
      </c>
      <c r="F477" t="s">
        <v>24</v>
      </c>
      <c r="G477">
        <v>48</v>
      </c>
      <c r="N477" s="2" t="s">
        <v>25</v>
      </c>
      <c r="P477" t="s">
        <v>26</v>
      </c>
      <c r="Q477" t="s">
        <v>27</v>
      </c>
      <c r="R477" t="s">
        <v>28</v>
      </c>
      <c r="S477" t="s">
        <v>29</v>
      </c>
      <c r="T477">
        <v>1</v>
      </c>
    </row>
    <row r="478" spans="1:20" x14ac:dyDescent="0.45">
      <c r="A478" t="s">
        <v>21</v>
      </c>
      <c r="B478">
        <v>2022</v>
      </c>
      <c r="C478" t="s">
        <v>34</v>
      </c>
      <c r="D478" s="1">
        <v>44731</v>
      </c>
      <c r="E478" t="s">
        <v>23</v>
      </c>
      <c r="F478" t="s">
        <v>24</v>
      </c>
      <c r="G478">
        <v>48</v>
      </c>
      <c r="N478" s="2" t="s">
        <v>25</v>
      </c>
      <c r="P478" t="s">
        <v>26</v>
      </c>
      <c r="Q478" t="s">
        <v>30</v>
      </c>
      <c r="R478" t="s">
        <v>28</v>
      </c>
      <c r="S478" t="s">
        <v>29</v>
      </c>
      <c r="T478">
        <v>41</v>
      </c>
    </row>
    <row r="479" spans="1:20" x14ac:dyDescent="0.45">
      <c r="A479" t="s">
        <v>21</v>
      </c>
      <c r="B479">
        <v>2022</v>
      </c>
      <c r="C479" t="s">
        <v>34</v>
      </c>
      <c r="D479" s="1">
        <v>44731</v>
      </c>
      <c r="E479" t="s">
        <v>23</v>
      </c>
      <c r="F479" t="s">
        <v>24</v>
      </c>
      <c r="G479">
        <v>48</v>
      </c>
      <c r="N479" s="2" t="s">
        <v>25</v>
      </c>
      <c r="P479" t="s">
        <v>26</v>
      </c>
      <c r="Q479" t="s">
        <v>31</v>
      </c>
      <c r="R479" t="s">
        <v>28</v>
      </c>
      <c r="S479" t="s">
        <v>29</v>
      </c>
      <c r="T479">
        <v>18</v>
      </c>
    </row>
    <row r="480" spans="1:20" x14ac:dyDescent="0.45">
      <c r="A480" t="s">
        <v>21</v>
      </c>
      <c r="B480">
        <v>2022</v>
      </c>
      <c r="C480" t="s">
        <v>34</v>
      </c>
      <c r="D480" s="1">
        <v>44731</v>
      </c>
      <c r="E480" t="s">
        <v>23</v>
      </c>
      <c r="F480" t="s">
        <v>24</v>
      </c>
      <c r="G480">
        <v>48</v>
      </c>
      <c r="N480" s="2" t="s">
        <v>25</v>
      </c>
      <c r="P480" t="s">
        <v>26</v>
      </c>
      <c r="Q480" t="s">
        <v>32</v>
      </c>
      <c r="R480" t="s">
        <v>28</v>
      </c>
      <c r="S480" t="s">
        <v>29</v>
      </c>
      <c r="T480">
        <v>27</v>
      </c>
    </row>
    <row r="481" spans="1:20" x14ac:dyDescent="0.45">
      <c r="A481" t="s">
        <v>21</v>
      </c>
      <c r="B481">
        <v>2022</v>
      </c>
      <c r="C481" t="s">
        <v>34</v>
      </c>
      <c r="D481" s="1">
        <v>44731</v>
      </c>
      <c r="E481" t="s">
        <v>23</v>
      </c>
      <c r="F481" t="s">
        <v>24</v>
      </c>
      <c r="G481">
        <v>48</v>
      </c>
      <c r="N481" s="2" t="s">
        <v>25</v>
      </c>
      <c r="P481" t="s">
        <v>26</v>
      </c>
      <c r="Q481" t="s">
        <v>33</v>
      </c>
      <c r="R481" t="s">
        <v>28</v>
      </c>
      <c r="S481" t="s">
        <v>29</v>
      </c>
      <c r="T481">
        <v>13</v>
      </c>
    </row>
    <row r="482" spans="1:20" x14ac:dyDescent="0.45">
      <c r="A482" t="s">
        <v>21</v>
      </c>
      <c r="B482">
        <v>2022</v>
      </c>
      <c r="C482" t="s">
        <v>35</v>
      </c>
      <c r="D482" s="1">
        <v>44738</v>
      </c>
      <c r="E482" t="s">
        <v>23</v>
      </c>
      <c r="F482" t="s">
        <v>24</v>
      </c>
      <c r="G482">
        <v>48</v>
      </c>
      <c r="N482" s="2" t="s">
        <v>25</v>
      </c>
      <c r="P482" t="s">
        <v>26</v>
      </c>
      <c r="Q482" t="s">
        <v>27</v>
      </c>
      <c r="R482" t="s">
        <v>28</v>
      </c>
      <c r="S482" t="s">
        <v>29</v>
      </c>
      <c r="T482">
        <v>0</v>
      </c>
    </row>
    <row r="483" spans="1:20" x14ac:dyDescent="0.45">
      <c r="A483" t="s">
        <v>21</v>
      </c>
      <c r="B483">
        <v>2022</v>
      </c>
      <c r="C483" t="s">
        <v>35</v>
      </c>
      <c r="D483" s="1">
        <v>44738</v>
      </c>
      <c r="E483" t="s">
        <v>23</v>
      </c>
      <c r="F483" t="s">
        <v>24</v>
      </c>
      <c r="G483">
        <v>48</v>
      </c>
      <c r="N483" s="2" t="s">
        <v>25</v>
      </c>
      <c r="P483" t="s">
        <v>26</v>
      </c>
      <c r="Q483" t="s">
        <v>30</v>
      </c>
      <c r="R483" t="s">
        <v>28</v>
      </c>
      <c r="S483" t="s">
        <v>29</v>
      </c>
      <c r="T483">
        <v>37</v>
      </c>
    </row>
    <row r="484" spans="1:20" x14ac:dyDescent="0.45">
      <c r="A484" t="s">
        <v>21</v>
      </c>
      <c r="B484">
        <v>2022</v>
      </c>
      <c r="C484" t="s">
        <v>35</v>
      </c>
      <c r="D484" s="1">
        <v>44738</v>
      </c>
      <c r="E484" t="s">
        <v>23</v>
      </c>
      <c r="F484" t="s">
        <v>24</v>
      </c>
      <c r="G484">
        <v>48</v>
      </c>
      <c r="N484" s="2" t="s">
        <v>25</v>
      </c>
      <c r="P484" t="s">
        <v>26</v>
      </c>
      <c r="Q484" t="s">
        <v>31</v>
      </c>
      <c r="R484" t="s">
        <v>28</v>
      </c>
      <c r="S484" t="s">
        <v>29</v>
      </c>
      <c r="T484">
        <v>17</v>
      </c>
    </row>
    <row r="485" spans="1:20" x14ac:dyDescent="0.45">
      <c r="A485" t="s">
        <v>21</v>
      </c>
      <c r="B485">
        <v>2022</v>
      </c>
      <c r="C485" t="s">
        <v>35</v>
      </c>
      <c r="D485" s="1">
        <v>44738</v>
      </c>
      <c r="E485" t="s">
        <v>23</v>
      </c>
      <c r="F485" t="s">
        <v>24</v>
      </c>
      <c r="G485">
        <v>48</v>
      </c>
      <c r="N485" s="2" t="s">
        <v>25</v>
      </c>
      <c r="P485" t="s">
        <v>26</v>
      </c>
      <c r="Q485" t="s">
        <v>32</v>
      </c>
      <c r="R485" t="s">
        <v>28</v>
      </c>
      <c r="S485" t="s">
        <v>29</v>
      </c>
      <c r="T485">
        <v>26</v>
      </c>
    </row>
    <row r="486" spans="1:20" x14ac:dyDescent="0.45">
      <c r="A486" t="s">
        <v>21</v>
      </c>
      <c r="B486">
        <v>2022</v>
      </c>
      <c r="C486" t="s">
        <v>35</v>
      </c>
      <c r="D486" s="1">
        <v>44738</v>
      </c>
      <c r="E486" t="s">
        <v>23</v>
      </c>
      <c r="F486" t="s">
        <v>24</v>
      </c>
      <c r="G486">
        <v>48</v>
      </c>
      <c r="N486" s="2" t="s">
        <v>25</v>
      </c>
      <c r="P486" t="s">
        <v>26</v>
      </c>
      <c r="Q486" t="s">
        <v>33</v>
      </c>
      <c r="R486" t="s">
        <v>28</v>
      </c>
      <c r="S486" t="s">
        <v>29</v>
      </c>
      <c r="T486">
        <v>20</v>
      </c>
    </row>
    <row r="487" spans="1:20" x14ac:dyDescent="0.45">
      <c r="A487" t="s">
        <v>21</v>
      </c>
      <c r="B487">
        <v>2022</v>
      </c>
      <c r="C487" t="s">
        <v>36</v>
      </c>
      <c r="D487" s="1">
        <v>44745</v>
      </c>
      <c r="E487" t="s">
        <v>23</v>
      </c>
      <c r="F487" t="s">
        <v>24</v>
      </c>
      <c r="G487">
        <v>48</v>
      </c>
      <c r="N487" s="2" t="s">
        <v>25</v>
      </c>
      <c r="P487" t="s">
        <v>26</v>
      </c>
      <c r="Q487" t="s">
        <v>27</v>
      </c>
      <c r="R487" t="s">
        <v>28</v>
      </c>
      <c r="S487" t="s">
        <v>29</v>
      </c>
      <c r="T487">
        <v>0</v>
      </c>
    </row>
    <row r="488" spans="1:20" x14ac:dyDescent="0.45">
      <c r="A488" t="s">
        <v>21</v>
      </c>
      <c r="B488">
        <v>2022</v>
      </c>
      <c r="C488" t="s">
        <v>36</v>
      </c>
      <c r="D488" s="1">
        <v>44745</v>
      </c>
      <c r="E488" t="s">
        <v>23</v>
      </c>
      <c r="F488" t="s">
        <v>24</v>
      </c>
      <c r="G488">
        <v>48</v>
      </c>
      <c r="N488" s="2" t="s">
        <v>25</v>
      </c>
      <c r="P488" t="s">
        <v>26</v>
      </c>
      <c r="Q488" t="s">
        <v>30</v>
      </c>
      <c r="R488" t="s">
        <v>28</v>
      </c>
      <c r="S488" t="s">
        <v>29</v>
      </c>
      <c r="T488">
        <v>35</v>
      </c>
    </row>
    <row r="489" spans="1:20" x14ac:dyDescent="0.45">
      <c r="A489" t="s">
        <v>21</v>
      </c>
      <c r="B489">
        <v>2022</v>
      </c>
      <c r="C489" t="s">
        <v>36</v>
      </c>
      <c r="D489" s="1">
        <v>44745</v>
      </c>
      <c r="E489" t="s">
        <v>23</v>
      </c>
      <c r="F489" t="s">
        <v>24</v>
      </c>
      <c r="G489">
        <v>48</v>
      </c>
      <c r="N489" s="2" t="s">
        <v>25</v>
      </c>
      <c r="P489" t="s">
        <v>26</v>
      </c>
      <c r="Q489" t="s">
        <v>31</v>
      </c>
      <c r="R489" t="s">
        <v>28</v>
      </c>
      <c r="S489" t="s">
        <v>29</v>
      </c>
      <c r="T489">
        <v>17</v>
      </c>
    </row>
    <row r="490" spans="1:20" x14ac:dyDescent="0.45">
      <c r="A490" t="s">
        <v>21</v>
      </c>
      <c r="B490">
        <v>2022</v>
      </c>
      <c r="C490" t="s">
        <v>36</v>
      </c>
      <c r="D490" s="1">
        <v>44745</v>
      </c>
      <c r="E490" t="s">
        <v>23</v>
      </c>
      <c r="F490" t="s">
        <v>24</v>
      </c>
      <c r="G490">
        <v>48</v>
      </c>
      <c r="N490" s="2" t="s">
        <v>25</v>
      </c>
      <c r="P490" t="s">
        <v>26</v>
      </c>
      <c r="Q490" t="s">
        <v>32</v>
      </c>
      <c r="R490" t="s">
        <v>28</v>
      </c>
      <c r="S490" t="s">
        <v>29</v>
      </c>
      <c r="T490">
        <v>21</v>
      </c>
    </row>
    <row r="491" spans="1:20" x14ac:dyDescent="0.45">
      <c r="A491" t="s">
        <v>21</v>
      </c>
      <c r="B491">
        <v>2022</v>
      </c>
      <c r="C491" t="s">
        <v>36</v>
      </c>
      <c r="D491" s="1">
        <v>44745</v>
      </c>
      <c r="E491" t="s">
        <v>23</v>
      </c>
      <c r="F491" t="s">
        <v>24</v>
      </c>
      <c r="G491">
        <v>48</v>
      </c>
      <c r="N491" s="2" t="s">
        <v>25</v>
      </c>
      <c r="P491" t="s">
        <v>26</v>
      </c>
      <c r="Q491" t="s">
        <v>33</v>
      </c>
      <c r="R491" t="s">
        <v>28</v>
      </c>
      <c r="S491" t="s">
        <v>29</v>
      </c>
      <c r="T491">
        <v>27</v>
      </c>
    </row>
    <row r="492" spans="1:20" x14ac:dyDescent="0.45">
      <c r="A492" t="s">
        <v>21</v>
      </c>
      <c r="B492">
        <v>2022</v>
      </c>
      <c r="C492" t="s">
        <v>37</v>
      </c>
      <c r="D492" s="1">
        <v>44752</v>
      </c>
      <c r="E492" t="s">
        <v>23</v>
      </c>
      <c r="F492" t="s">
        <v>24</v>
      </c>
      <c r="G492">
        <v>48</v>
      </c>
      <c r="N492" s="2" t="s">
        <v>25</v>
      </c>
      <c r="P492" t="s">
        <v>26</v>
      </c>
      <c r="Q492" t="s">
        <v>27</v>
      </c>
      <c r="R492" t="s">
        <v>28</v>
      </c>
      <c r="S492" t="s">
        <v>29</v>
      </c>
      <c r="T492">
        <v>2</v>
      </c>
    </row>
    <row r="493" spans="1:20" x14ac:dyDescent="0.45">
      <c r="A493" t="s">
        <v>21</v>
      </c>
      <c r="B493">
        <v>2022</v>
      </c>
      <c r="C493" t="s">
        <v>37</v>
      </c>
      <c r="D493" s="1">
        <v>44752</v>
      </c>
      <c r="E493" t="s">
        <v>23</v>
      </c>
      <c r="F493" t="s">
        <v>24</v>
      </c>
      <c r="G493">
        <v>48</v>
      </c>
      <c r="N493" s="2" t="s">
        <v>25</v>
      </c>
      <c r="P493" t="s">
        <v>26</v>
      </c>
      <c r="Q493" t="s">
        <v>30</v>
      </c>
      <c r="R493" t="s">
        <v>28</v>
      </c>
      <c r="S493" t="s">
        <v>29</v>
      </c>
      <c r="T493">
        <v>38</v>
      </c>
    </row>
    <row r="494" spans="1:20" x14ac:dyDescent="0.45">
      <c r="A494" t="s">
        <v>21</v>
      </c>
      <c r="B494">
        <v>2022</v>
      </c>
      <c r="C494" t="s">
        <v>37</v>
      </c>
      <c r="D494" s="1">
        <v>44752</v>
      </c>
      <c r="E494" t="s">
        <v>23</v>
      </c>
      <c r="F494" t="s">
        <v>24</v>
      </c>
      <c r="G494">
        <v>48</v>
      </c>
      <c r="N494" s="2" t="s">
        <v>25</v>
      </c>
      <c r="P494" t="s">
        <v>26</v>
      </c>
      <c r="Q494" t="s">
        <v>31</v>
      </c>
      <c r="R494" t="s">
        <v>28</v>
      </c>
      <c r="S494" t="s">
        <v>29</v>
      </c>
      <c r="T494">
        <v>19</v>
      </c>
    </row>
    <row r="495" spans="1:20" x14ac:dyDescent="0.45">
      <c r="A495" t="s">
        <v>21</v>
      </c>
      <c r="B495">
        <v>2022</v>
      </c>
      <c r="C495" t="s">
        <v>37</v>
      </c>
      <c r="D495" s="1">
        <v>44752</v>
      </c>
      <c r="E495" t="s">
        <v>23</v>
      </c>
      <c r="F495" t="s">
        <v>24</v>
      </c>
      <c r="G495">
        <v>48</v>
      </c>
      <c r="N495" s="2" t="s">
        <v>25</v>
      </c>
      <c r="P495" t="s">
        <v>26</v>
      </c>
      <c r="Q495" t="s">
        <v>32</v>
      </c>
      <c r="R495" t="s">
        <v>28</v>
      </c>
      <c r="S495" t="s">
        <v>29</v>
      </c>
      <c r="T495">
        <v>19</v>
      </c>
    </row>
    <row r="496" spans="1:20" x14ac:dyDescent="0.45">
      <c r="A496" t="s">
        <v>21</v>
      </c>
      <c r="B496">
        <v>2022</v>
      </c>
      <c r="C496" t="s">
        <v>37</v>
      </c>
      <c r="D496" s="1">
        <v>44752</v>
      </c>
      <c r="E496" t="s">
        <v>23</v>
      </c>
      <c r="F496" t="s">
        <v>24</v>
      </c>
      <c r="G496">
        <v>48</v>
      </c>
      <c r="N496" s="2" t="s">
        <v>25</v>
      </c>
      <c r="P496" t="s">
        <v>26</v>
      </c>
      <c r="Q496" t="s">
        <v>33</v>
      </c>
      <c r="R496" t="s">
        <v>28</v>
      </c>
      <c r="S496" t="s">
        <v>29</v>
      </c>
      <c r="T496">
        <v>22</v>
      </c>
    </row>
    <row r="497" spans="1:20" x14ac:dyDescent="0.45">
      <c r="A497" t="s">
        <v>21</v>
      </c>
      <c r="B497">
        <v>2022</v>
      </c>
      <c r="C497" t="s">
        <v>38</v>
      </c>
      <c r="D497" s="1">
        <v>44759</v>
      </c>
      <c r="E497" t="s">
        <v>23</v>
      </c>
      <c r="F497" t="s">
        <v>24</v>
      </c>
      <c r="G497">
        <v>48</v>
      </c>
      <c r="N497" s="2" t="s">
        <v>25</v>
      </c>
      <c r="P497" t="s">
        <v>26</v>
      </c>
      <c r="Q497" t="s">
        <v>27</v>
      </c>
      <c r="R497" t="s">
        <v>28</v>
      </c>
      <c r="S497" t="s">
        <v>29</v>
      </c>
      <c r="T497">
        <v>1</v>
      </c>
    </row>
    <row r="498" spans="1:20" x14ac:dyDescent="0.45">
      <c r="A498" t="s">
        <v>21</v>
      </c>
      <c r="B498">
        <v>2022</v>
      </c>
      <c r="C498" t="s">
        <v>38</v>
      </c>
      <c r="D498" s="1">
        <v>44759</v>
      </c>
      <c r="E498" t="s">
        <v>23</v>
      </c>
      <c r="F498" t="s">
        <v>24</v>
      </c>
      <c r="G498">
        <v>48</v>
      </c>
      <c r="N498" s="2" t="s">
        <v>25</v>
      </c>
      <c r="P498" t="s">
        <v>26</v>
      </c>
      <c r="Q498" t="s">
        <v>30</v>
      </c>
      <c r="R498" t="s">
        <v>28</v>
      </c>
      <c r="S498" t="s">
        <v>29</v>
      </c>
      <c r="T498">
        <v>40</v>
      </c>
    </row>
    <row r="499" spans="1:20" x14ac:dyDescent="0.45">
      <c r="A499" t="s">
        <v>21</v>
      </c>
      <c r="B499">
        <v>2022</v>
      </c>
      <c r="C499" t="s">
        <v>38</v>
      </c>
      <c r="D499" s="1">
        <v>44759</v>
      </c>
      <c r="E499" t="s">
        <v>23</v>
      </c>
      <c r="F499" t="s">
        <v>24</v>
      </c>
      <c r="G499">
        <v>48</v>
      </c>
      <c r="N499" s="2" t="s">
        <v>25</v>
      </c>
      <c r="P499" t="s">
        <v>26</v>
      </c>
      <c r="Q499" t="s">
        <v>31</v>
      </c>
      <c r="R499" t="s">
        <v>28</v>
      </c>
      <c r="S499" t="s">
        <v>29</v>
      </c>
      <c r="T499">
        <v>20</v>
      </c>
    </row>
    <row r="500" spans="1:20" x14ac:dyDescent="0.45">
      <c r="A500" t="s">
        <v>21</v>
      </c>
      <c r="B500">
        <v>2022</v>
      </c>
      <c r="C500" t="s">
        <v>38</v>
      </c>
      <c r="D500" s="1">
        <v>44759</v>
      </c>
      <c r="E500" t="s">
        <v>23</v>
      </c>
      <c r="F500" t="s">
        <v>24</v>
      </c>
      <c r="G500">
        <v>48</v>
      </c>
      <c r="N500" s="2" t="s">
        <v>25</v>
      </c>
      <c r="P500" t="s">
        <v>26</v>
      </c>
      <c r="Q500" t="s">
        <v>32</v>
      </c>
      <c r="R500" t="s">
        <v>28</v>
      </c>
      <c r="S500" t="s">
        <v>29</v>
      </c>
      <c r="T500">
        <v>15</v>
      </c>
    </row>
    <row r="501" spans="1:20" x14ac:dyDescent="0.45">
      <c r="A501" t="s">
        <v>21</v>
      </c>
      <c r="B501">
        <v>2022</v>
      </c>
      <c r="C501" t="s">
        <v>38</v>
      </c>
      <c r="D501" s="1">
        <v>44759</v>
      </c>
      <c r="E501" t="s">
        <v>23</v>
      </c>
      <c r="F501" t="s">
        <v>24</v>
      </c>
      <c r="G501">
        <v>48</v>
      </c>
      <c r="N501" s="2" t="s">
        <v>25</v>
      </c>
      <c r="P501" t="s">
        <v>26</v>
      </c>
      <c r="Q501" t="s">
        <v>33</v>
      </c>
      <c r="R501" t="s">
        <v>28</v>
      </c>
      <c r="S501" t="s">
        <v>29</v>
      </c>
      <c r="T501">
        <v>24</v>
      </c>
    </row>
    <row r="502" spans="1:20" x14ac:dyDescent="0.45">
      <c r="A502" t="s">
        <v>21</v>
      </c>
      <c r="B502">
        <v>2022</v>
      </c>
      <c r="C502" t="s">
        <v>39</v>
      </c>
      <c r="D502" s="1">
        <v>44766</v>
      </c>
      <c r="E502" t="s">
        <v>23</v>
      </c>
      <c r="F502" t="s">
        <v>24</v>
      </c>
      <c r="G502">
        <v>48</v>
      </c>
      <c r="N502" s="2" t="s">
        <v>25</v>
      </c>
      <c r="P502" t="s">
        <v>26</v>
      </c>
      <c r="Q502" t="s">
        <v>27</v>
      </c>
      <c r="R502" t="s">
        <v>28</v>
      </c>
      <c r="S502" t="s">
        <v>29</v>
      </c>
      <c r="T502">
        <v>2</v>
      </c>
    </row>
    <row r="503" spans="1:20" x14ac:dyDescent="0.45">
      <c r="A503" t="s">
        <v>21</v>
      </c>
      <c r="B503">
        <v>2022</v>
      </c>
      <c r="C503" t="s">
        <v>39</v>
      </c>
      <c r="D503" s="1">
        <v>44766</v>
      </c>
      <c r="E503" t="s">
        <v>23</v>
      </c>
      <c r="F503" t="s">
        <v>24</v>
      </c>
      <c r="G503">
        <v>48</v>
      </c>
      <c r="N503" s="2" t="s">
        <v>25</v>
      </c>
      <c r="P503" t="s">
        <v>26</v>
      </c>
      <c r="Q503" t="s">
        <v>30</v>
      </c>
      <c r="R503" t="s">
        <v>28</v>
      </c>
      <c r="S503" t="s">
        <v>29</v>
      </c>
      <c r="T503">
        <v>43</v>
      </c>
    </row>
    <row r="504" spans="1:20" x14ac:dyDescent="0.45">
      <c r="A504" t="s">
        <v>21</v>
      </c>
      <c r="B504">
        <v>2022</v>
      </c>
      <c r="C504" t="s">
        <v>39</v>
      </c>
      <c r="D504" s="1">
        <v>44766</v>
      </c>
      <c r="E504" t="s">
        <v>23</v>
      </c>
      <c r="F504" t="s">
        <v>24</v>
      </c>
      <c r="G504">
        <v>48</v>
      </c>
      <c r="N504" s="2" t="s">
        <v>25</v>
      </c>
      <c r="P504" t="s">
        <v>26</v>
      </c>
      <c r="Q504" t="s">
        <v>31</v>
      </c>
      <c r="R504" t="s">
        <v>28</v>
      </c>
      <c r="S504" t="s">
        <v>29</v>
      </c>
      <c r="T504">
        <v>15</v>
      </c>
    </row>
    <row r="505" spans="1:20" x14ac:dyDescent="0.45">
      <c r="A505" t="s">
        <v>21</v>
      </c>
      <c r="B505">
        <v>2022</v>
      </c>
      <c r="C505" t="s">
        <v>39</v>
      </c>
      <c r="D505" s="1">
        <v>44766</v>
      </c>
      <c r="E505" t="s">
        <v>23</v>
      </c>
      <c r="F505" t="s">
        <v>24</v>
      </c>
      <c r="G505">
        <v>48</v>
      </c>
      <c r="N505" s="2" t="s">
        <v>25</v>
      </c>
      <c r="P505" t="s">
        <v>26</v>
      </c>
      <c r="Q505" t="s">
        <v>32</v>
      </c>
      <c r="R505" t="s">
        <v>28</v>
      </c>
      <c r="S505" t="s">
        <v>29</v>
      </c>
      <c r="T505">
        <v>19</v>
      </c>
    </row>
    <row r="506" spans="1:20" x14ac:dyDescent="0.45">
      <c r="A506" t="s">
        <v>21</v>
      </c>
      <c r="B506">
        <v>2022</v>
      </c>
      <c r="C506" t="s">
        <v>39</v>
      </c>
      <c r="D506" s="1">
        <v>44766</v>
      </c>
      <c r="E506" t="s">
        <v>23</v>
      </c>
      <c r="F506" t="s">
        <v>24</v>
      </c>
      <c r="G506">
        <v>48</v>
      </c>
      <c r="N506" s="2" t="s">
        <v>25</v>
      </c>
      <c r="P506" t="s">
        <v>26</v>
      </c>
      <c r="Q506" t="s">
        <v>33</v>
      </c>
      <c r="R506" t="s">
        <v>28</v>
      </c>
      <c r="S506" t="s">
        <v>29</v>
      </c>
      <c r="T506">
        <v>21</v>
      </c>
    </row>
    <row r="507" spans="1:20" x14ac:dyDescent="0.45">
      <c r="A507" t="s">
        <v>21</v>
      </c>
      <c r="B507">
        <v>2022</v>
      </c>
      <c r="C507" t="s">
        <v>40</v>
      </c>
      <c r="D507" s="1">
        <v>44773</v>
      </c>
      <c r="E507" t="s">
        <v>23</v>
      </c>
      <c r="F507" t="s">
        <v>24</v>
      </c>
      <c r="G507">
        <v>48</v>
      </c>
      <c r="N507" s="2" t="s">
        <v>25</v>
      </c>
      <c r="P507" t="s">
        <v>26</v>
      </c>
      <c r="Q507" t="s">
        <v>27</v>
      </c>
      <c r="R507" t="s">
        <v>28</v>
      </c>
      <c r="S507" t="s">
        <v>29</v>
      </c>
      <c r="T507">
        <v>4</v>
      </c>
    </row>
    <row r="508" spans="1:20" x14ac:dyDescent="0.45">
      <c r="A508" t="s">
        <v>21</v>
      </c>
      <c r="B508">
        <v>2022</v>
      </c>
      <c r="C508" t="s">
        <v>40</v>
      </c>
      <c r="D508" s="1">
        <v>44773</v>
      </c>
      <c r="E508" t="s">
        <v>23</v>
      </c>
      <c r="F508" t="s">
        <v>24</v>
      </c>
      <c r="G508">
        <v>48</v>
      </c>
      <c r="N508" s="2" t="s">
        <v>25</v>
      </c>
      <c r="P508" t="s">
        <v>26</v>
      </c>
      <c r="Q508" t="s">
        <v>30</v>
      </c>
      <c r="R508" t="s">
        <v>28</v>
      </c>
      <c r="S508" t="s">
        <v>29</v>
      </c>
      <c r="T508">
        <v>39</v>
      </c>
    </row>
    <row r="509" spans="1:20" x14ac:dyDescent="0.45">
      <c r="A509" t="s">
        <v>21</v>
      </c>
      <c r="B509">
        <v>2022</v>
      </c>
      <c r="C509" t="s">
        <v>40</v>
      </c>
      <c r="D509" s="1">
        <v>44773</v>
      </c>
      <c r="E509" t="s">
        <v>23</v>
      </c>
      <c r="F509" t="s">
        <v>24</v>
      </c>
      <c r="G509">
        <v>48</v>
      </c>
      <c r="N509" s="2" t="s">
        <v>25</v>
      </c>
      <c r="P509" t="s">
        <v>26</v>
      </c>
      <c r="Q509" t="s">
        <v>31</v>
      </c>
      <c r="R509" t="s">
        <v>28</v>
      </c>
      <c r="S509" t="s">
        <v>29</v>
      </c>
      <c r="T509">
        <v>21</v>
      </c>
    </row>
    <row r="510" spans="1:20" x14ac:dyDescent="0.45">
      <c r="A510" t="s">
        <v>21</v>
      </c>
      <c r="B510">
        <v>2022</v>
      </c>
      <c r="C510" t="s">
        <v>40</v>
      </c>
      <c r="D510" s="1">
        <v>44773</v>
      </c>
      <c r="E510" t="s">
        <v>23</v>
      </c>
      <c r="F510" t="s">
        <v>24</v>
      </c>
      <c r="G510">
        <v>48</v>
      </c>
      <c r="N510" s="2" t="s">
        <v>25</v>
      </c>
      <c r="P510" t="s">
        <v>26</v>
      </c>
      <c r="Q510" t="s">
        <v>32</v>
      </c>
      <c r="R510" t="s">
        <v>28</v>
      </c>
      <c r="S510" t="s">
        <v>29</v>
      </c>
      <c r="T510">
        <v>14</v>
      </c>
    </row>
    <row r="511" spans="1:20" x14ac:dyDescent="0.45">
      <c r="A511" t="s">
        <v>21</v>
      </c>
      <c r="B511">
        <v>2022</v>
      </c>
      <c r="C511" t="s">
        <v>40</v>
      </c>
      <c r="D511" s="1">
        <v>44773</v>
      </c>
      <c r="E511" t="s">
        <v>23</v>
      </c>
      <c r="F511" t="s">
        <v>24</v>
      </c>
      <c r="G511">
        <v>48</v>
      </c>
      <c r="N511" s="2" t="s">
        <v>25</v>
      </c>
      <c r="P511" t="s">
        <v>26</v>
      </c>
      <c r="Q511" t="s">
        <v>33</v>
      </c>
      <c r="R511" t="s">
        <v>28</v>
      </c>
      <c r="S511" t="s">
        <v>29</v>
      </c>
      <c r="T511">
        <v>22</v>
      </c>
    </row>
    <row r="512" spans="1:20" x14ac:dyDescent="0.45">
      <c r="A512" t="s">
        <v>21</v>
      </c>
      <c r="B512">
        <v>2022</v>
      </c>
      <c r="C512" t="s">
        <v>41</v>
      </c>
      <c r="D512" s="1">
        <v>44780</v>
      </c>
      <c r="E512" t="s">
        <v>23</v>
      </c>
      <c r="F512" t="s">
        <v>24</v>
      </c>
      <c r="G512">
        <v>48</v>
      </c>
      <c r="N512" s="2" t="s">
        <v>25</v>
      </c>
      <c r="P512" t="s">
        <v>26</v>
      </c>
      <c r="Q512" t="s">
        <v>27</v>
      </c>
      <c r="R512" t="s">
        <v>28</v>
      </c>
      <c r="S512" t="s">
        <v>29</v>
      </c>
      <c r="T512">
        <v>0</v>
      </c>
    </row>
    <row r="513" spans="1:20" x14ac:dyDescent="0.45">
      <c r="A513" t="s">
        <v>21</v>
      </c>
      <c r="B513">
        <v>2022</v>
      </c>
      <c r="C513" t="s">
        <v>41</v>
      </c>
      <c r="D513" s="1">
        <v>44780</v>
      </c>
      <c r="E513" t="s">
        <v>23</v>
      </c>
      <c r="F513" t="s">
        <v>24</v>
      </c>
      <c r="G513">
        <v>48</v>
      </c>
      <c r="N513" s="2" t="s">
        <v>25</v>
      </c>
      <c r="P513" t="s">
        <v>26</v>
      </c>
      <c r="Q513" t="s">
        <v>30</v>
      </c>
      <c r="R513" t="s">
        <v>28</v>
      </c>
      <c r="S513" t="s">
        <v>29</v>
      </c>
      <c r="T513">
        <v>38</v>
      </c>
    </row>
    <row r="514" spans="1:20" x14ac:dyDescent="0.45">
      <c r="A514" t="s">
        <v>21</v>
      </c>
      <c r="B514">
        <v>2022</v>
      </c>
      <c r="C514" t="s">
        <v>41</v>
      </c>
      <c r="D514" s="1">
        <v>44780</v>
      </c>
      <c r="E514" t="s">
        <v>23</v>
      </c>
      <c r="F514" t="s">
        <v>24</v>
      </c>
      <c r="G514">
        <v>48</v>
      </c>
      <c r="N514" s="2" t="s">
        <v>25</v>
      </c>
      <c r="P514" t="s">
        <v>26</v>
      </c>
      <c r="Q514" t="s">
        <v>31</v>
      </c>
      <c r="R514" t="s">
        <v>28</v>
      </c>
      <c r="S514" t="s">
        <v>29</v>
      </c>
      <c r="T514">
        <v>14</v>
      </c>
    </row>
    <row r="515" spans="1:20" x14ac:dyDescent="0.45">
      <c r="A515" t="s">
        <v>21</v>
      </c>
      <c r="B515">
        <v>2022</v>
      </c>
      <c r="C515" t="s">
        <v>41</v>
      </c>
      <c r="D515" s="1">
        <v>44780</v>
      </c>
      <c r="E515" t="s">
        <v>23</v>
      </c>
      <c r="F515" t="s">
        <v>24</v>
      </c>
      <c r="G515">
        <v>48</v>
      </c>
      <c r="N515" s="2" t="s">
        <v>25</v>
      </c>
      <c r="P515" t="s">
        <v>26</v>
      </c>
      <c r="Q515" t="s">
        <v>32</v>
      </c>
      <c r="R515" t="s">
        <v>28</v>
      </c>
      <c r="S515" t="s">
        <v>29</v>
      </c>
      <c r="T515">
        <v>22</v>
      </c>
    </row>
    <row r="516" spans="1:20" x14ac:dyDescent="0.45">
      <c r="A516" t="s">
        <v>21</v>
      </c>
      <c r="B516">
        <v>2022</v>
      </c>
      <c r="C516" t="s">
        <v>41</v>
      </c>
      <c r="D516" s="1">
        <v>44780</v>
      </c>
      <c r="E516" t="s">
        <v>23</v>
      </c>
      <c r="F516" t="s">
        <v>24</v>
      </c>
      <c r="G516">
        <v>48</v>
      </c>
      <c r="N516" s="2" t="s">
        <v>25</v>
      </c>
      <c r="P516" t="s">
        <v>26</v>
      </c>
      <c r="Q516" t="s">
        <v>33</v>
      </c>
      <c r="R516" t="s">
        <v>28</v>
      </c>
      <c r="S516" t="s">
        <v>29</v>
      </c>
      <c r="T516">
        <v>26</v>
      </c>
    </row>
    <row r="517" spans="1:20" x14ac:dyDescent="0.45">
      <c r="A517" t="s">
        <v>21</v>
      </c>
      <c r="B517">
        <v>2022</v>
      </c>
      <c r="C517" t="s">
        <v>42</v>
      </c>
      <c r="D517" s="1">
        <v>44787</v>
      </c>
      <c r="E517" t="s">
        <v>23</v>
      </c>
      <c r="F517" t="s">
        <v>24</v>
      </c>
      <c r="G517">
        <v>48</v>
      </c>
      <c r="N517" s="2" t="s">
        <v>25</v>
      </c>
      <c r="P517" t="s">
        <v>26</v>
      </c>
      <c r="Q517" t="s">
        <v>27</v>
      </c>
      <c r="R517" t="s">
        <v>28</v>
      </c>
      <c r="S517" t="s">
        <v>29</v>
      </c>
      <c r="T517">
        <v>1</v>
      </c>
    </row>
    <row r="518" spans="1:20" x14ac:dyDescent="0.45">
      <c r="A518" t="s">
        <v>21</v>
      </c>
      <c r="B518">
        <v>2022</v>
      </c>
      <c r="C518" t="s">
        <v>42</v>
      </c>
      <c r="D518" s="1">
        <v>44787</v>
      </c>
      <c r="E518" t="s">
        <v>23</v>
      </c>
      <c r="F518" t="s">
        <v>24</v>
      </c>
      <c r="G518">
        <v>48</v>
      </c>
      <c r="N518" s="2" t="s">
        <v>25</v>
      </c>
      <c r="P518" t="s">
        <v>26</v>
      </c>
      <c r="Q518" t="s">
        <v>30</v>
      </c>
      <c r="R518" t="s">
        <v>28</v>
      </c>
      <c r="S518" t="s">
        <v>29</v>
      </c>
      <c r="T518">
        <v>36</v>
      </c>
    </row>
    <row r="519" spans="1:20" x14ac:dyDescent="0.45">
      <c r="A519" t="s">
        <v>21</v>
      </c>
      <c r="B519">
        <v>2022</v>
      </c>
      <c r="C519" t="s">
        <v>42</v>
      </c>
      <c r="D519" s="1">
        <v>44787</v>
      </c>
      <c r="E519" t="s">
        <v>23</v>
      </c>
      <c r="F519" t="s">
        <v>24</v>
      </c>
      <c r="G519">
        <v>48</v>
      </c>
      <c r="N519" s="2" t="s">
        <v>25</v>
      </c>
      <c r="P519" t="s">
        <v>26</v>
      </c>
      <c r="Q519" t="s">
        <v>31</v>
      </c>
      <c r="R519" t="s">
        <v>28</v>
      </c>
      <c r="S519" t="s">
        <v>29</v>
      </c>
      <c r="T519">
        <v>13</v>
      </c>
    </row>
    <row r="520" spans="1:20" x14ac:dyDescent="0.45">
      <c r="A520" t="s">
        <v>21</v>
      </c>
      <c r="B520">
        <v>2022</v>
      </c>
      <c r="C520" t="s">
        <v>42</v>
      </c>
      <c r="D520" s="1">
        <v>44787</v>
      </c>
      <c r="E520" t="s">
        <v>23</v>
      </c>
      <c r="F520" t="s">
        <v>24</v>
      </c>
      <c r="G520">
        <v>48</v>
      </c>
      <c r="N520" s="2" t="s">
        <v>25</v>
      </c>
      <c r="P520" t="s">
        <v>26</v>
      </c>
      <c r="Q520" t="s">
        <v>32</v>
      </c>
      <c r="R520" t="s">
        <v>28</v>
      </c>
      <c r="S520" t="s">
        <v>29</v>
      </c>
      <c r="T520">
        <v>26</v>
      </c>
    </row>
    <row r="521" spans="1:20" x14ac:dyDescent="0.45">
      <c r="A521" t="s">
        <v>21</v>
      </c>
      <c r="B521">
        <v>2022</v>
      </c>
      <c r="C521" t="s">
        <v>42</v>
      </c>
      <c r="D521" s="1">
        <v>44787</v>
      </c>
      <c r="E521" t="s">
        <v>23</v>
      </c>
      <c r="F521" t="s">
        <v>24</v>
      </c>
      <c r="G521">
        <v>48</v>
      </c>
      <c r="N521" s="2" t="s">
        <v>25</v>
      </c>
      <c r="P521" t="s">
        <v>26</v>
      </c>
      <c r="Q521" t="s">
        <v>33</v>
      </c>
      <c r="R521" t="s">
        <v>28</v>
      </c>
      <c r="S521" t="s">
        <v>29</v>
      </c>
      <c r="T521">
        <v>24</v>
      </c>
    </row>
    <row r="522" spans="1:20" x14ac:dyDescent="0.45">
      <c r="A522" t="s">
        <v>21</v>
      </c>
      <c r="B522">
        <v>2022</v>
      </c>
      <c r="C522" t="s">
        <v>43</v>
      </c>
      <c r="D522" s="1">
        <v>44794</v>
      </c>
      <c r="E522" t="s">
        <v>23</v>
      </c>
      <c r="F522" t="s">
        <v>24</v>
      </c>
      <c r="G522">
        <v>48</v>
      </c>
      <c r="N522" s="2" t="s">
        <v>25</v>
      </c>
      <c r="P522" t="s">
        <v>26</v>
      </c>
      <c r="Q522" t="s">
        <v>27</v>
      </c>
      <c r="R522" t="s">
        <v>28</v>
      </c>
      <c r="S522" t="s">
        <v>29</v>
      </c>
      <c r="T522">
        <v>1</v>
      </c>
    </row>
    <row r="523" spans="1:20" x14ac:dyDescent="0.45">
      <c r="A523" t="s">
        <v>21</v>
      </c>
      <c r="B523">
        <v>2022</v>
      </c>
      <c r="C523" t="s">
        <v>43</v>
      </c>
      <c r="D523" s="1">
        <v>44794</v>
      </c>
      <c r="E523" t="s">
        <v>23</v>
      </c>
      <c r="F523" t="s">
        <v>24</v>
      </c>
      <c r="G523">
        <v>48</v>
      </c>
      <c r="N523" s="2" t="s">
        <v>25</v>
      </c>
      <c r="P523" t="s">
        <v>26</v>
      </c>
      <c r="Q523" t="s">
        <v>30</v>
      </c>
      <c r="R523" t="s">
        <v>28</v>
      </c>
      <c r="S523" t="s">
        <v>29</v>
      </c>
      <c r="T523">
        <v>30</v>
      </c>
    </row>
    <row r="524" spans="1:20" x14ac:dyDescent="0.45">
      <c r="A524" t="s">
        <v>21</v>
      </c>
      <c r="B524">
        <v>2022</v>
      </c>
      <c r="C524" t="s">
        <v>43</v>
      </c>
      <c r="D524" s="1">
        <v>44794</v>
      </c>
      <c r="E524" t="s">
        <v>23</v>
      </c>
      <c r="F524" t="s">
        <v>24</v>
      </c>
      <c r="G524">
        <v>48</v>
      </c>
      <c r="N524" s="2" t="s">
        <v>25</v>
      </c>
      <c r="P524" t="s">
        <v>26</v>
      </c>
      <c r="Q524" t="s">
        <v>31</v>
      </c>
      <c r="R524" t="s">
        <v>28</v>
      </c>
      <c r="S524" t="s">
        <v>29</v>
      </c>
      <c r="T524">
        <v>10</v>
      </c>
    </row>
    <row r="525" spans="1:20" x14ac:dyDescent="0.45">
      <c r="A525" t="s">
        <v>21</v>
      </c>
      <c r="B525">
        <v>2022</v>
      </c>
      <c r="C525" t="s">
        <v>43</v>
      </c>
      <c r="D525" s="1">
        <v>44794</v>
      </c>
      <c r="E525" t="s">
        <v>23</v>
      </c>
      <c r="F525" t="s">
        <v>24</v>
      </c>
      <c r="G525">
        <v>48</v>
      </c>
      <c r="N525" s="2" t="s">
        <v>25</v>
      </c>
      <c r="P525" t="s">
        <v>26</v>
      </c>
      <c r="Q525" t="s">
        <v>32</v>
      </c>
      <c r="R525" t="s">
        <v>28</v>
      </c>
      <c r="S525" t="s">
        <v>29</v>
      </c>
      <c r="T525">
        <v>31</v>
      </c>
    </row>
    <row r="526" spans="1:20" x14ac:dyDescent="0.45">
      <c r="A526" t="s">
        <v>21</v>
      </c>
      <c r="B526">
        <v>2022</v>
      </c>
      <c r="C526" t="s">
        <v>43</v>
      </c>
      <c r="D526" s="1">
        <v>44794</v>
      </c>
      <c r="E526" t="s">
        <v>23</v>
      </c>
      <c r="F526" t="s">
        <v>24</v>
      </c>
      <c r="G526">
        <v>48</v>
      </c>
      <c r="N526" s="2" t="s">
        <v>25</v>
      </c>
      <c r="P526" t="s">
        <v>26</v>
      </c>
      <c r="Q526" t="s">
        <v>33</v>
      </c>
      <c r="R526" t="s">
        <v>28</v>
      </c>
      <c r="S526" t="s">
        <v>29</v>
      </c>
      <c r="T526">
        <v>28</v>
      </c>
    </row>
    <row r="527" spans="1:20" x14ac:dyDescent="0.45">
      <c r="A527" t="s">
        <v>21</v>
      </c>
      <c r="B527">
        <v>2022</v>
      </c>
      <c r="C527" t="s">
        <v>44</v>
      </c>
      <c r="D527" s="1">
        <v>44801</v>
      </c>
      <c r="E527" t="s">
        <v>23</v>
      </c>
      <c r="F527" t="s">
        <v>24</v>
      </c>
      <c r="G527">
        <v>48</v>
      </c>
      <c r="N527" s="2" t="s">
        <v>25</v>
      </c>
      <c r="P527" t="s">
        <v>26</v>
      </c>
      <c r="Q527" t="s">
        <v>27</v>
      </c>
      <c r="R527" t="s">
        <v>28</v>
      </c>
      <c r="S527" t="s">
        <v>29</v>
      </c>
      <c r="T527">
        <v>1</v>
      </c>
    </row>
    <row r="528" spans="1:20" x14ac:dyDescent="0.45">
      <c r="A528" t="s">
        <v>21</v>
      </c>
      <c r="B528">
        <v>2022</v>
      </c>
      <c r="C528" t="s">
        <v>44</v>
      </c>
      <c r="D528" s="1">
        <v>44801</v>
      </c>
      <c r="E528" t="s">
        <v>23</v>
      </c>
      <c r="F528" t="s">
        <v>24</v>
      </c>
      <c r="G528">
        <v>48</v>
      </c>
      <c r="N528" s="2" t="s">
        <v>25</v>
      </c>
      <c r="P528" t="s">
        <v>26</v>
      </c>
      <c r="Q528" t="s">
        <v>30</v>
      </c>
      <c r="R528" t="s">
        <v>28</v>
      </c>
      <c r="S528" t="s">
        <v>29</v>
      </c>
      <c r="T528">
        <v>32</v>
      </c>
    </row>
    <row r="529" spans="1:20" x14ac:dyDescent="0.45">
      <c r="A529" t="s">
        <v>21</v>
      </c>
      <c r="B529">
        <v>2022</v>
      </c>
      <c r="C529" t="s">
        <v>44</v>
      </c>
      <c r="D529" s="1">
        <v>44801</v>
      </c>
      <c r="E529" t="s">
        <v>23</v>
      </c>
      <c r="F529" t="s">
        <v>24</v>
      </c>
      <c r="G529">
        <v>48</v>
      </c>
      <c r="N529" s="2" t="s">
        <v>25</v>
      </c>
      <c r="P529" t="s">
        <v>26</v>
      </c>
      <c r="Q529" t="s">
        <v>31</v>
      </c>
      <c r="R529" t="s">
        <v>28</v>
      </c>
      <c r="S529" t="s">
        <v>29</v>
      </c>
      <c r="T529">
        <v>14</v>
      </c>
    </row>
    <row r="530" spans="1:20" x14ac:dyDescent="0.45">
      <c r="A530" t="s">
        <v>21</v>
      </c>
      <c r="B530">
        <v>2022</v>
      </c>
      <c r="C530" t="s">
        <v>44</v>
      </c>
      <c r="D530" s="1">
        <v>44801</v>
      </c>
      <c r="E530" t="s">
        <v>23</v>
      </c>
      <c r="F530" t="s">
        <v>24</v>
      </c>
      <c r="G530">
        <v>48</v>
      </c>
      <c r="N530" s="2" t="s">
        <v>25</v>
      </c>
      <c r="P530" t="s">
        <v>26</v>
      </c>
      <c r="Q530" t="s">
        <v>32</v>
      </c>
      <c r="R530" t="s">
        <v>28</v>
      </c>
      <c r="S530" t="s">
        <v>29</v>
      </c>
      <c r="T530">
        <v>27</v>
      </c>
    </row>
    <row r="531" spans="1:20" x14ac:dyDescent="0.45">
      <c r="A531" t="s">
        <v>21</v>
      </c>
      <c r="B531">
        <v>2022</v>
      </c>
      <c r="C531" t="s">
        <v>44</v>
      </c>
      <c r="D531" s="1">
        <v>44801</v>
      </c>
      <c r="E531" t="s">
        <v>23</v>
      </c>
      <c r="F531" t="s">
        <v>24</v>
      </c>
      <c r="G531">
        <v>48</v>
      </c>
      <c r="N531" s="2" t="s">
        <v>25</v>
      </c>
      <c r="P531" t="s">
        <v>26</v>
      </c>
      <c r="Q531" t="s">
        <v>33</v>
      </c>
      <c r="R531" t="s">
        <v>28</v>
      </c>
      <c r="S531" t="s">
        <v>29</v>
      </c>
      <c r="T531">
        <v>26</v>
      </c>
    </row>
    <row r="532" spans="1:20" x14ac:dyDescent="0.45">
      <c r="A532" t="s">
        <v>21</v>
      </c>
      <c r="B532">
        <v>2022</v>
      </c>
      <c r="C532" t="s">
        <v>45</v>
      </c>
      <c r="D532" s="1">
        <v>44808</v>
      </c>
      <c r="E532" t="s">
        <v>23</v>
      </c>
      <c r="F532" t="s">
        <v>24</v>
      </c>
      <c r="G532">
        <v>48</v>
      </c>
      <c r="N532" s="2" t="s">
        <v>25</v>
      </c>
      <c r="P532" t="s">
        <v>26</v>
      </c>
      <c r="Q532" t="s">
        <v>27</v>
      </c>
      <c r="R532" t="s">
        <v>28</v>
      </c>
      <c r="S532" t="s">
        <v>29</v>
      </c>
      <c r="T532">
        <v>2</v>
      </c>
    </row>
    <row r="533" spans="1:20" x14ac:dyDescent="0.45">
      <c r="A533" t="s">
        <v>21</v>
      </c>
      <c r="B533">
        <v>2022</v>
      </c>
      <c r="C533" t="s">
        <v>45</v>
      </c>
      <c r="D533" s="1">
        <v>44808</v>
      </c>
      <c r="E533" t="s">
        <v>23</v>
      </c>
      <c r="F533" t="s">
        <v>24</v>
      </c>
      <c r="G533">
        <v>48</v>
      </c>
      <c r="N533" s="2" t="s">
        <v>25</v>
      </c>
      <c r="P533" t="s">
        <v>26</v>
      </c>
      <c r="Q533" t="s">
        <v>30</v>
      </c>
      <c r="R533" t="s">
        <v>28</v>
      </c>
      <c r="S533" t="s">
        <v>29</v>
      </c>
      <c r="T533">
        <v>38</v>
      </c>
    </row>
    <row r="534" spans="1:20" x14ac:dyDescent="0.45">
      <c r="A534" t="s">
        <v>21</v>
      </c>
      <c r="B534">
        <v>2022</v>
      </c>
      <c r="C534" t="s">
        <v>45</v>
      </c>
      <c r="D534" s="1">
        <v>44808</v>
      </c>
      <c r="E534" t="s">
        <v>23</v>
      </c>
      <c r="F534" t="s">
        <v>24</v>
      </c>
      <c r="G534">
        <v>48</v>
      </c>
      <c r="N534" s="2" t="s">
        <v>25</v>
      </c>
      <c r="P534" t="s">
        <v>26</v>
      </c>
      <c r="Q534" t="s">
        <v>31</v>
      </c>
      <c r="R534" t="s">
        <v>28</v>
      </c>
      <c r="S534" t="s">
        <v>29</v>
      </c>
      <c r="T534">
        <v>15</v>
      </c>
    </row>
    <row r="535" spans="1:20" x14ac:dyDescent="0.45">
      <c r="A535" t="s">
        <v>21</v>
      </c>
      <c r="B535">
        <v>2022</v>
      </c>
      <c r="C535" t="s">
        <v>45</v>
      </c>
      <c r="D535" s="1">
        <v>44808</v>
      </c>
      <c r="E535" t="s">
        <v>23</v>
      </c>
      <c r="F535" t="s">
        <v>24</v>
      </c>
      <c r="G535">
        <v>48</v>
      </c>
      <c r="N535" s="2" t="s">
        <v>25</v>
      </c>
      <c r="P535" t="s">
        <v>26</v>
      </c>
      <c r="Q535" t="s">
        <v>32</v>
      </c>
      <c r="R535" t="s">
        <v>28</v>
      </c>
      <c r="S535" t="s">
        <v>29</v>
      </c>
      <c r="T535">
        <v>23</v>
      </c>
    </row>
    <row r="536" spans="1:20" x14ac:dyDescent="0.45">
      <c r="A536" t="s">
        <v>21</v>
      </c>
      <c r="B536">
        <v>2022</v>
      </c>
      <c r="C536" t="s">
        <v>45</v>
      </c>
      <c r="D536" s="1">
        <v>44808</v>
      </c>
      <c r="E536" t="s">
        <v>23</v>
      </c>
      <c r="F536" t="s">
        <v>24</v>
      </c>
      <c r="G536">
        <v>48</v>
      </c>
      <c r="N536" s="2" t="s">
        <v>25</v>
      </c>
      <c r="P536" t="s">
        <v>26</v>
      </c>
      <c r="Q536" t="s">
        <v>33</v>
      </c>
      <c r="R536" t="s">
        <v>28</v>
      </c>
      <c r="S536" t="s">
        <v>29</v>
      </c>
      <c r="T536">
        <v>22</v>
      </c>
    </row>
    <row r="537" spans="1:20" x14ac:dyDescent="0.45">
      <c r="A537" t="s">
        <v>21</v>
      </c>
      <c r="B537">
        <v>2022</v>
      </c>
      <c r="C537" t="s">
        <v>46</v>
      </c>
      <c r="D537" s="1">
        <v>44815</v>
      </c>
      <c r="E537" t="s">
        <v>23</v>
      </c>
      <c r="F537" t="s">
        <v>24</v>
      </c>
      <c r="G537">
        <v>48</v>
      </c>
      <c r="N537" s="2" t="s">
        <v>25</v>
      </c>
      <c r="P537" t="s">
        <v>26</v>
      </c>
      <c r="Q537" t="s">
        <v>27</v>
      </c>
      <c r="R537" t="s">
        <v>28</v>
      </c>
      <c r="S537" t="s">
        <v>29</v>
      </c>
      <c r="T537">
        <v>1</v>
      </c>
    </row>
    <row r="538" spans="1:20" x14ac:dyDescent="0.45">
      <c r="A538" t="s">
        <v>21</v>
      </c>
      <c r="B538">
        <v>2022</v>
      </c>
      <c r="C538" t="s">
        <v>46</v>
      </c>
      <c r="D538" s="1">
        <v>44815</v>
      </c>
      <c r="E538" t="s">
        <v>23</v>
      </c>
      <c r="F538" t="s">
        <v>24</v>
      </c>
      <c r="G538">
        <v>48</v>
      </c>
      <c r="N538" s="2" t="s">
        <v>25</v>
      </c>
      <c r="P538" t="s">
        <v>26</v>
      </c>
      <c r="Q538" t="s">
        <v>30</v>
      </c>
      <c r="R538" t="s">
        <v>28</v>
      </c>
      <c r="S538" t="s">
        <v>29</v>
      </c>
      <c r="T538">
        <v>32</v>
      </c>
    </row>
    <row r="539" spans="1:20" x14ac:dyDescent="0.45">
      <c r="A539" t="s">
        <v>21</v>
      </c>
      <c r="B539">
        <v>2022</v>
      </c>
      <c r="C539" t="s">
        <v>46</v>
      </c>
      <c r="D539" s="1">
        <v>44815</v>
      </c>
      <c r="E539" t="s">
        <v>23</v>
      </c>
      <c r="F539" t="s">
        <v>24</v>
      </c>
      <c r="G539">
        <v>48</v>
      </c>
      <c r="N539" s="2" t="s">
        <v>25</v>
      </c>
      <c r="P539" t="s">
        <v>26</v>
      </c>
      <c r="Q539" t="s">
        <v>31</v>
      </c>
      <c r="R539" t="s">
        <v>28</v>
      </c>
      <c r="S539" t="s">
        <v>29</v>
      </c>
      <c r="T539">
        <v>14</v>
      </c>
    </row>
    <row r="540" spans="1:20" x14ac:dyDescent="0.45">
      <c r="A540" t="s">
        <v>21</v>
      </c>
      <c r="B540">
        <v>2022</v>
      </c>
      <c r="C540" t="s">
        <v>46</v>
      </c>
      <c r="D540" s="1">
        <v>44815</v>
      </c>
      <c r="E540" t="s">
        <v>23</v>
      </c>
      <c r="F540" t="s">
        <v>24</v>
      </c>
      <c r="G540">
        <v>48</v>
      </c>
      <c r="N540" s="2" t="s">
        <v>25</v>
      </c>
      <c r="P540" t="s">
        <v>26</v>
      </c>
      <c r="Q540" t="s">
        <v>32</v>
      </c>
      <c r="R540" t="s">
        <v>28</v>
      </c>
      <c r="S540" t="s">
        <v>29</v>
      </c>
      <c r="T540">
        <v>32</v>
      </c>
    </row>
    <row r="541" spans="1:20" x14ac:dyDescent="0.45">
      <c r="A541" t="s">
        <v>21</v>
      </c>
      <c r="B541">
        <v>2022</v>
      </c>
      <c r="C541" t="s">
        <v>46</v>
      </c>
      <c r="D541" s="1">
        <v>44815</v>
      </c>
      <c r="E541" t="s">
        <v>23</v>
      </c>
      <c r="F541" t="s">
        <v>24</v>
      </c>
      <c r="G541">
        <v>48</v>
      </c>
      <c r="N541" s="2" t="s">
        <v>25</v>
      </c>
      <c r="P541" t="s">
        <v>26</v>
      </c>
      <c r="Q541" t="s">
        <v>33</v>
      </c>
      <c r="R541" t="s">
        <v>28</v>
      </c>
      <c r="S541" t="s">
        <v>29</v>
      </c>
      <c r="T541">
        <v>21</v>
      </c>
    </row>
    <row r="542" spans="1:20" x14ac:dyDescent="0.45">
      <c r="A542" t="s">
        <v>21</v>
      </c>
      <c r="B542">
        <v>2022</v>
      </c>
      <c r="C542" t="s">
        <v>47</v>
      </c>
      <c r="D542" s="1">
        <v>44822</v>
      </c>
      <c r="E542" t="s">
        <v>23</v>
      </c>
      <c r="F542" t="s">
        <v>24</v>
      </c>
      <c r="G542">
        <v>48</v>
      </c>
      <c r="N542" s="2" t="s">
        <v>25</v>
      </c>
      <c r="P542" t="s">
        <v>26</v>
      </c>
      <c r="Q542" t="s">
        <v>27</v>
      </c>
      <c r="R542" t="s">
        <v>28</v>
      </c>
      <c r="S542" t="s">
        <v>29</v>
      </c>
      <c r="T542">
        <v>1</v>
      </c>
    </row>
    <row r="543" spans="1:20" x14ac:dyDescent="0.45">
      <c r="A543" t="s">
        <v>21</v>
      </c>
      <c r="B543">
        <v>2022</v>
      </c>
      <c r="C543" t="s">
        <v>47</v>
      </c>
      <c r="D543" s="1">
        <v>44822</v>
      </c>
      <c r="E543" t="s">
        <v>23</v>
      </c>
      <c r="F543" t="s">
        <v>24</v>
      </c>
      <c r="G543">
        <v>48</v>
      </c>
      <c r="N543" s="2" t="s">
        <v>25</v>
      </c>
      <c r="P543" t="s">
        <v>26</v>
      </c>
      <c r="Q543" t="s">
        <v>30</v>
      </c>
      <c r="R543" t="s">
        <v>28</v>
      </c>
      <c r="S543" t="s">
        <v>29</v>
      </c>
      <c r="T543">
        <v>29</v>
      </c>
    </row>
    <row r="544" spans="1:20" x14ac:dyDescent="0.45">
      <c r="A544" t="s">
        <v>21</v>
      </c>
      <c r="B544">
        <v>2022</v>
      </c>
      <c r="C544" t="s">
        <v>47</v>
      </c>
      <c r="D544" s="1">
        <v>44822</v>
      </c>
      <c r="E544" t="s">
        <v>23</v>
      </c>
      <c r="F544" t="s">
        <v>24</v>
      </c>
      <c r="G544">
        <v>48</v>
      </c>
      <c r="N544" s="2" t="s">
        <v>25</v>
      </c>
      <c r="P544" t="s">
        <v>26</v>
      </c>
      <c r="Q544" t="s">
        <v>31</v>
      </c>
      <c r="R544" t="s">
        <v>28</v>
      </c>
      <c r="S544" t="s">
        <v>29</v>
      </c>
      <c r="T544">
        <v>14</v>
      </c>
    </row>
    <row r="545" spans="1:20" x14ac:dyDescent="0.45">
      <c r="A545" t="s">
        <v>21</v>
      </c>
      <c r="B545">
        <v>2022</v>
      </c>
      <c r="C545" t="s">
        <v>47</v>
      </c>
      <c r="D545" s="1">
        <v>44822</v>
      </c>
      <c r="E545" t="s">
        <v>23</v>
      </c>
      <c r="F545" t="s">
        <v>24</v>
      </c>
      <c r="G545">
        <v>48</v>
      </c>
      <c r="N545" s="2" t="s">
        <v>25</v>
      </c>
      <c r="P545" t="s">
        <v>26</v>
      </c>
      <c r="Q545" t="s">
        <v>32</v>
      </c>
      <c r="R545" t="s">
        <v>28</v>
      </c>
      <c r="S545" t="s">
        <v>29</v>
      </c>
      <c r="T545">
        <v>32</v>
      </c>
    </row>
    <row r="546" spans="1:20" x14ac:dyDescent="0.45">
      <c r="A546" t="s">
        <v>21</v>
      </c>
      <c r="B546">
        <v>2022</v>
      </c>
      <c r="C546" t="s">
        <v>47</v>
      </c>
      <c r="D546" s="1">
        <v>44822</v>
      </c>
      <c r="E546" t="s">
        <v>23</v>
      </c>
      <c r="F546" t="s">
        <v>24</v>
      </c>
      <c r="G546">
        <v>48</v>
      </c>
      <c r="N546" s="2" t="s">
        <v>25</v>
      </c>
      <c r="P546" t="s">
        <v>26</v>
      </c>
      <c r="Q546" t="s">
        <v>33</v>
      </c>
      <c r="R546" t="s">
        <v>28</v>
      </c>
      <c r="S546" t="s">
        <v>29</v>
      </c>
      <c r="T546">
        <v>24</v>
      </c>
    </row>
    <row r="547" spans="1:20" x14ac:dyDescent="0.45">
      <c r="A547" t="s">
        <v>21</v>
      </c>
      <c r="B547">
        <v>2022</v>
      </c>
      <c r="C547" t="s">
        <v>48</v>
      </c>
      <c r="D547" s="1">
        <v>44829</v>
      </c>
      <c r="E547" t="s">
        <v>23</v>
      </c>
      <c r="F547" t="s">
        <v>24</v>
      </c>
      <c r="G547">
        <v>48</v>
      </c>
      <c r="N547" s="2" t="s">
        <v>25</v>
      </c>
      <c r="P547" t="s">
        <v>26</v>
      </c>
      <c r="Q547" t="s">
        <v>27</v>
      </c>
      <c r="R547" t="s">
        <v>28</v>
      </c>
      <c r="S547" t="s">
        <v>29</v>
      </c>
      <c r="T547">
        <v>0</v>
      </c>
    </row>
    <row r="548" spans="1:20" x14ac:dyDescent="0.45">
      <c r="A548" t="s">
        <v>21</v>
      </c>
      <c r="B548">
        <v>2022</v>
      </c>
      <c r="C548" t="s">
        <v>48</v>
      </c>
      <c r="D548" s="1">
        <v>44829</v>
      </c>
      <c r="E548" t="s">
        <v>23</v>
      </c>
      <c r="F548" t="s">
        <v>24</v>
      </c>
      <c r="G548">
        <v>48</v>
      </c>
      <c r="N548" s="2" t="s">
        <v>25</v>
      </c>
      <c r="P548" t="s">
        <v>26</v>
      </c>
      <c r="Q548" t="s">
        <v>30</v>
      </c>
      <c r="R548" t="s">
        <v>28</v>
      </c>
      <c r="S548" t="s">
        <v>29</v>
      </c>
      <c r="T548">
        <v>27</v>
      </c>
    </row>
    <row r="549" spans="1:20" x14ac:dyDescent="0.45">
      <c r="A549" t="s">
        <v>21</v>
      </c>
      <c r="B549">
        <v>2022</v>
      </c>
      <c r="C549" t="s">
        <v>48</v>
      </c>
      <c r="D549" s="1">
        <v>44829</v>
      </c>
      <c r="E549" t="s">
        <v>23</v>
      </c>
      <c r="F549" t="s">
        <v>24</v>
      </c>
      <c r="G549">
        <v>48</v>
      </c>
      <c r="N549" s="2" t="s">
        <v>25</v>
      </c>
      <c r="P549" t="s">
        <v>26</v>
      </c>
      <c r="Q549" t="s">
        <v>31</v>
      </c>
      <c r="R549" t="s">
        <v>28</v>
      </c>
      <c r="S549" t="s">
        <v>29</v>
      </c>
      <c r="T549">
        <v>12</v>
      </c>
    </row>
    <row r="550" spans="1:20" x14ac:dyDescent="0.45">
      <c r="A550" t="s">
        <v>21</v>
      </c>
      <c r="B550">
        <v>2022</v>
      </c>
      <c r="C550" t="s">
        <v>48</v>
      </c>
      <c r="D550" s="1">
        <v>44829</v>
      </c>
      <c r="E550" t="s">
        <v>23</v>
      </c>
      <c r="F550" t="s">
        <v>24</v>
      </c>
      <c r="G550">
        <v>48</v>
      </c>
      <c r="N550" s="2" t="s">
        <v>25</v>
      </c>
      <c r="P550" t="s">
        <v>26</v>
      </c>
      <c r="Q550" t="s">
        <v>32</v>
      </c>
      <c r="R550" t="s">
        <v>28</v>
      </c>
      <c r="S550" t="s">
        <v>29</v>
      </c>
      <c r="T550">
        <v>40</v>
      </c>
    </row>
    <row r="551" spans="1:20" x14ac:dyDescent="0.45">
      <c r="A551" t="s">
        <v>21</v>
      </c>
      <c r="B551">
        <v>2022</v>
      </c>
      <c r="C551" t="s">
        <v>48</v>
      </c>
      <c r="D551" s="1">
        <v>44829</v>
      </c>
      <c r="E551" t="s">
        <v>23</v>
      </c>
      <c r="F551" t="s">
        <v>24</v>
      </c>
      <c r="G551">
        <v>48</v>
      </c>
      <c r="N551" s="2" t="s">
        <v>25</v>
      </c>
      <c r="P551" t="s">
        <v>26</v>
      </c>
      <c r="Q551" t="s">
        <v>33</v>
      </c>
      <c r="R551" t="s">
        <v>28</v>
      </c>
      <c r="S551" t="s">
        <v>29</v>
      </c>
      <c r="T551">
        <v>21</v>
      </c>
    </row>
    <row r="552" spans="1:20" x14ac:dyDescent="0.45">
      <c r="A552" t="s">
        <v>21</v>
      </c>
      <c r="B552">
        <v>2022</v>
      </c>
      <c r="C552" t="s">
        <v>52</v>
      </c>
      <c r="D552" s="1">
        <v>44836</v>
      </c>
      <c r="E552" t="s">
        <v>23</v>
      </c>
      <c r="F552" t="s">
        <v>24</v>
      </c>
      <c r="G552">
        <v>48</v>
      </c>
      <c r="N552" s="2" t="s">
        <v>25</v>
      </c>
      <c r="P552" t="s">
        <v>26</v>
      </c>
      <c r="Q552" t="s">
        <v>27</v>
      </c>
      <c r="R552" t="s">
        <v>28</v>
      </c>
      <c r="S552" t="s">
        <v>29</v>
      </c>
      <c r="T552">
        <v>1</v>
      </c>
    </row>
    <row r="553" spans="1:20" x14ac:dyDescent="0.45">
      <c r="A553" t="s">
        <v>21</v>
      </c>
      <c r="B553">
        <v>2022</v>
      </c>
      <c r="C553" t="s">
        <v>52</v>
      </c>
      <c r="D553" s="1">
        <v>44836</v>
      </c>
      <c r="E553" t="s">
        <v>23</v>
      </c>
      <c r="F553" t="s">
        <v>24</v>
      </c>
      <c r="G553">
        <v>48</v>
      </c>
      <c r="N553" s="2" t="s">
        <v>25</v>
      </c>
      <c r="P553" t="s">
        <v>26</v>
      </c>
      <c r="Q553" t="s">
        <v>30</v>
      </c>
      <c r="R553" t="s">
        <v>28</v>
      </c>
      <c r="S553" t="s">
        <v>29</v>
      </c>
      <c r="T553">
        <v>21</v>
      </c>
    </row>
    <row r="554" spans="1:20" x14ac:dyDescent="0.45">
      <c r="A554" t="s">
        <v>21</v>
      </c>
      <c r="B554">
        <v>2022</v>
      </c>
      <c r="C554" t="s">
        <v>52</v>
      </c>
      <c r="D554" s="1">
        <v>44836</v>
      </c>
      <c r="E554" t="s">
        <v>23</v>
      </c>
      <c r="F554" t="s">
        <v>24</v>
      </c>
      <c r="G554">
        <v>48</v>
      </c>
      <c r="N554" s="2" t="s">
        <v>25</v>
      </c>
      <c r="P554" t="s">
        <v>26</v>
      </c>
      <c r="Q554" t="s">
        <v>31</v>
      </c>
      <c r="R554" t="s">
        <v>28</v>
      </c>
      <c r="S554" t="s">
        <v>29</v>
      </c>
      <c r="T554">
        <v>9</v>
      </c>
    </row>
    <row r="555" spans="1:20" x14ac:dyDescent="0.45">
      <c r="A555" t="s">
        <v>21</v>
      </c>
      <c r="B555">
        <v>2022</v>
      </c>
      <c r="C555" t="s">
        <v>52</v>
      </c>
      <c r="D555" s="1">
        <v>44836</v>
      </c>
      <c r="E555" t="s">
        <v>23</v>
      </c>
      <c r="F555" t="s">
        <v>24</v>
      </c>
      <c r="G555">
        <v>48</v>
      </c>
      <c r="N555" s="2" t="s">
        <v>25</v>
      </c>
      <c r="P555" t="s">
        <v>26</v>
      </c>
      <c r="Q555" t="s">
        <v>32</v>
      </c>
      <c r="R555" t="s">
        <v>28</v>
      </c>
      <c r="S555" t="s">
        <v>29</v>
      </c>
      <c r="T555">
        <v>48</v>
      </c>
    </row>
    <row r="556" spans="1:20" x14ac:dyDescent="0.45">
      <c r="A556" t="s">
        <v>21</v>
      </c>
      <c r="B556">
        <v>2022</v>
      </c>
      <c r="C556" t="s">
        <v>52</v>
      </c>
      <c r="D556" s="1">
        <v>44836</v>
      </c>
      <c r="E556" t="s">
        <v>23</v>
      </c>
      <c r="F556" t="s">
        <v>24</v>
      </c>
      <c r="G556">
        <v>48</v>
      </c>
      <c r="N556" s="2" t="s">
        <v>25</v>
      </c>
      <c r="P556" t="s">
        <v>26</v>
      </c>
      <c r="Q556" t="s">
        <v>33</v>
      </c>
      <c r="R556" t="s">
        <v>28</v>
      </c>
      <c r="S556" t="s">
        <v>29</v>
      </c>
      <c r="T556">
        <v>21</v>
      </c>
    </row>
    <row r="557" spans="1:20" x14ac:dyDescent="0.45">
      <c r="A557" t="s">
        <v>21</v>
      </c>
      <c r="B557">
        <v>2022</v>
      </c>
      <c r="C557" t="s">
        <v>55</v>
      </c>
      <c r="D557" s="1">
        <v>44843</v>
      </c>
      <c r="E557" t="s">
        <v>23</v>
      </c>
      <c r="F557" t="s">
        <v>24</v>
      </c>
      <c r="G557">
        <v>48</v>
      </c>
      <c r="N557" s="2" t="s">
        <v>25</v>
      </c>
      <c r="P557" t="s">
        <v>26</v>
      </c>
      <c r="Q557" t="s">
        <v>27</v>
      </c>
      <c r="R557" t="s">
        <v>28</v>
      </c>
      <c r="S557" t="s">
        <v>29</v>
      </c>
      <c r="T557">
        <v>2</v>
      </c>
    </row>
    <row r="558" spans="1:20" x14ac:dyDescent="0.45">
      <c r="A558" t="s">
        <v>21</v>
      </c>
      <c r="B558">
        <v>2022</v>
      </c>
      <c r="C558" t="s">
        <v>55</v>
      </c>
      <c r="D558" s="1">
        <v>44843</v>
      </c>
      <c r="E558" t="s">
        <v>23</v>
      </c>
      <c r="F558" t="s">
        <v>24</v>
      </c>
      <c r="G558">
        <v>48</v>
      </c>
      <c r="N558" s="2" t="s">
        <v>25</v>
      </c>
      <c r="P558" t="s">
        <v>26</v>
      </c>
      <c r="Q558" t="s">
        <v>30</v>
      </c>
      <c r="R558" t="s">
        <v>28</v>
      </c>
      <c r="S558" t="s">
        <v>29</v>
      </c>
      <c r="T558">
        <v>18</v>
      </c>
    </row>
    <row r="559" spans="1:20" x14ac:dyDescent="0.45">
      <c r="A559" t="s">
        <v>21</v>
      </c>
      <c r="B559">
        <v>2022</v>
      </c>
      <c r="C559" t="s">
        <v>55</v>
      </c>
      <c r="D559" s="1">
        <v>44843</v>
      </c>
      <c r="E559" t="s">
        <v>23</v>
      </c>
      <c r="F559" t="s">
        <v>24</v>
      </c>
      <c r="G559">
        <v>48</v>
      </c>
      <c r="N559" s="2" t="s">
        <v>25</v>
      </c>
      <c r="P559" t="s">
        <v>26</v>
      </c>
      <c r="Q559" t="s">
        <v>31</v>
      </c>
      <c r="R559" t="s">
        <v>28</v>
      </c>
      <c r="S559" t="s">
        <v>29</v>
      </c>
      <c r="T559">
        <v>8</v>
      </c>
    </row>
    <row r="560" spans="1:20" x14ac:dyDescent="0.45">
      <c r="A560" t="s">
        <v>21</v>
      </c>
      <c r="B560">
        <v>2022</v>
      </c>
      <c r="C560" t="s">
        <v>55</v>
      </c>
      <c r="D560" s="1">
        <v>44843</v>
      </c>
      <c r="E560" t="s">
        <v>23</v>
      </c>
      <c r="F560" t="s">
        <v>24</v>
      </c>
      <c r="G560">
        <v>48</v>
      </c>
      <c r="N560" s="2" t="s">
        <v>25</v>
      </c>
      <c r="P560" t="s">
        <v>26</v>
      </c>
      <c r="Q560" t="s">
        <v>32</v>
      </c>
      <c r="R560" t="s">
        <v>28</v>
      </c>
      <c r="S560" t="s">
        <v>29</v>
      </c>
      <c r="T560">
        <v>51</v>
      </c>
    </row>
    <row r="561" spans="1:20" x14ac:dyDescent="0.45">
      <c r="A561" t="s">
        <v>21</v>
      </c>
      <c r="B561">
        <v>2022</v>
      </c>
      <c r="C561" t="s">
        <v>55</v>
      </c>
      <c r="D561" s="1">
        <v>44843</v>
      </c>
      <c r="E561" t="s">
        <v>23</v>
      </c>
      <c r="F561" t="s">
        <v>24</v>
      </c>
      <c r="G561">
        <v>48</v>
      </c>
      <c r="N561" s="2" t="s">
        <v>25</v>
      </c>
      <c r="P561" t="s">
        <v>26</v>
      </c>
      <c r="Q561" t="s">
        <v>33</v>
      </c>
      <c r="R561" t="s">
        <v>28</v>
      </c>
      <c r="S561" t="s">
        <v>29</v>
      </c>
      <c r="T561">
        <v>21</v>
      </c>
    </row>
    <row r="562" spans="1:20" x14ac:dyDescent="0.45">
      <c r="A562" t="s">
        <v>21</v>
      </c>
      <c r="B562">
        <v>2022</v>
      </c>
      <c r="C562" t="s">
        <v>56</v>
      </c>
      <c r="D562" s="1">
        <v>44850</v>
      </c>
      <c r="E562" t="s">
        <v>23</v>
      </c>
      <c r="F562" t="s">
        <v>24</v>
      </c>
      <c r="G562">
        <v>48</v>
      </c>
      <c r="N562" s="2" t="s">
        <v>25</v>
      </c>
      <c r="P562" t="s">
        <v>26</v>
      </c>
      <c r="Q562" t="s">
        <v>27</v>
      </c>
      <c r="R562" t="s">
        <v>28</v>
      </c>
      <c r="S562" t="s">
        <v>29</v>
      </c>
      <c r="T562">
        <v>2</v>
      </c>
    </row>
    <row r="563" spans="1:20" x14ac:dyDescent="0.45">
      <c r="A563" t="s">
        <v>21</v>
      </c>
      <c r="B563">
        <v>2022</v>
      </c>
      <c r="C563" t="s">
        <v>56</v>
      </c>
      <c r="D563" s="1">
        <v>44850</v>
      </c>
      <c r="E563" t="s">
        <v>23</v>
      </c>
      <c r="F563" t="s">
        <v>24</v>
      </c>
      <c r="G563">
        <v>48</v>
      </c>
      <c r="N563" s="2" t="s">
        <v>25</v>
      </c>
      <c r="P563" t="s">
        <v>26</v>
      </c>
      <c r="Q563" t="s">
        <v>30</v>
      </c>
      <c r="R563" t="s">
        <v>28</v>
      </c>
      <c r="S563" t="s">
        <v>29</v>
      </c>
      <c r="T563">
        <v>19</v>
      </c>
    </row>
    <row r="564" spans="1:20" x14ac:dyDescent="0.45">
      <c r="A564" t="s">
        <v>21</v>
      </c>
      <c r="B564">
        <v>2022</v>
      </c>
      <c r="C564" t="s">
        <v>56</v>
      </c>
      <c r="D564" s="1">
        <v>44850</v>
      </c>
      <c r="E564" t="s">
        <v>23</v>
      </c>
      <c r="F564" t="s">
        <v>24</v>
      </c>
      <c r="G564">
        <v>48</v>
      </c>
      <c r="N564" s="2" t="s">
        <v>25</v>
      </c>
      <c r="P564" t="s">
        <v>26</v>
      </c>
      <c r="Q564" t="s">
        <v>31</v>
      </c>
      <c r="R564" t="s">
        <v>28</v>
      </c>
      <c r="S564" t="s">
        <v>29</v>
      </c>
      <c r="T564">
        <v>8</v>
      </c>
    </row>
    <row r="565" spans="1:20" x14ac:dyDescent="0.45">
      <c r="A565" t="s">
        <v>21</v>
      </c>
      <c r="B565">
        <v>2022</v>
      </c>
      <c r="C565" t="s">
        <v>56</v>
      </c>
      <c r="D565" s="1">
        <v>44850</v>
      </c>
      <c r="E565" t="s">
        <v>23</v>
      </c>
      <c r="F565" t="s">
        <v>24</v>
      </c>
      <c r="G565">
        <v>48</v>
      </c>
      <c r="N565" s="2" t="s">
        <v>25</v>
      </c>
      <c r="P565" t="s">
        <v>26</v>
      </c>
      <c r="Q565" t="s">
        <v>32</v>
      </c>
      <c r="R565" t="s">
        <v>28</v>
      </c>
      <c r="S565" t="s">
        <v>29</v>
      </c>
      <c r="T565">
        <v>46</v>
      </c>
    </row>
    <row r="566" spans="1:20" x14ac:dyDescent="0.45">
      <c r="A566" t="s">
        <v>21</v>
      </c>
      <c r="B566">
        <v>2022</v>
      </c>
      <c r="C566" t="s">
        <v>56</v>
      </c>
      <c r="D566" s="1">
        <v>44850</v>
      </c>
      <c r="E566" t="s">
        <v>23</v>
      </c>
      <c r="F566" t="s">
        <v>24</v>
      </c>
      <c r="G566">
        <v>48</v>
      </c>
      <c r="N566" s="2" t="s">
        <v>25</v>
      </c>
      <c r="P566" t="s">
        <v>26</v>
      </c>
      <c r="Q566" t="s">
        <v>33</v>
      </c>
      <c r="R566" t="s">
        <v>28</v>
      </c>
      <c r="S566" t="s">
        <v>29</v>
      </c>
      <c r="T566">
        <v>25</v>
      </c>
    </row>
    <row r="567" spans="1:20" x14ac:dyDescent="0.45">
      <c r="A567" t="s">
        <v>21</v>
      </c>
      <c r="B567">
        <v>2022</v>
      </c>
      <c r="C567" t="s">
        <v>57</v>
      </c>
      <c r="D567" s="1">
        <v>44857</v>
      </c>
      <c r="E567" t="s">
        <v>23</v>
      </c>
      <c r="F567" t="s">
        <v>24</v>
      </c>
      <c r="G567">
        <v>48</v>
      </c>
      <c r="N567" s="2" t="s">
        <v>25</v>
      </c>
      <c r="P567" t="s">
        <v>26</v>
      </c>
      <c r="Q567" t="s">
        <v>27</v>
      </c>
      <c r="R567" t="s">
        <v>28</v>
      </c>
      <c r="S567" t="s">
        <v>29</v>
      </c>
      <c r="T567">
        <v>2</v>
      </c>
    </row>
    <row r="568" spans="1:20" x14ac:dyDescent="0.45">
      <c r="A568" t="s">
        <v>21</v>
      </c>
      <c r="B568">
        <v>2022</v>
      </c>
      <c r="C568" t="s">
        <v>57</v>
      </c>
      <c r="D568" s="1">
        <v>44857</v>
      </c>
      <c r="E568" t="s">
        <v>23</v>
      </c>
      <c r="F568" t="s">
        <v>24</v>
      </c>
      <c r="G568">
        <v>48</v>
      </c>
      <c r="N568" s="2" t="s">
        <v>25</v>
      </c>
      <c r="P568" t="s">
        <v>26</v>
      </c>
      <c r="Q568" t="s">
        <v>30</v>
      </c>
      <c r="R568" t="s">
        <v>28</v>
      </c>
      <c r="S568" t="s">
        <v>29</v>
      </c>
      <c r="T568">
        <v>22</v>
      </c>
    </row>
    <row r="569" spans="1:20" x14ac:dyDescent="0.45">
      <c r="A569" t="s">
        <v>21</v>
      </c>
      <c r="B569">
        <v>2022</v>
      </c>
      <c r="C569" t="s">
        <v>57</v>
      </c>
      <c r="D569" s="1">
        <v>44857</v>
      </c>
      <c r="E569" t="s">
        <v>23</v>
      </c>
      <c r="F569" t="s">
        <v>24</v>
      </c>
      <c r="G569">
        <v>48</v>
      </c>
      <c r="N569" s="2" t="s">
        <v>25</v>
      </c>
      <c r="P569" t="s">
        <v>26</v>
      </c>
      <c r="Q569" t="s">
        <v>31</v>
      </c>
      <c r="R569" t="s">
        <v>28</v>
      </c>
      <c r="S569" t="s">
        <v>29</v>
      </c>
      <c r="T569">
        <v>8</v>
      </c>
    </row>
    <row r="570" spans="1:20" x14ac:dyDescent="0.45">
      <c r="A570" t="s">
        <v>21</v>
      </c>
      <c r="B570">
        <v>2022</v>
      </c>
      <c r="C570" t="s">
        <v>57</v>
      </c>
      <c r="D570" s="1">
        <v>44857</v>
      </c>
      <c r="E570" t="s">
        <v>23</v>
      </c>
      <c r="F570" t="s">
        <v>24</v>
      </c>
      <c r="G570">
        <v>48</v>
      </c>
      <c r="N570" s="2" t="s">
        <v>25</v>
      </c>
      <c r="P570" t="s">
        <v>26</v>
      </c>
      <c r="Q570" t="s">
        <v>32</v>
      </c>
      <c r="R570" t="s">
        <v>28</v>
      </c>
      <c r="S570" t="s">
        <v>29</v>
      </c>
      <c r="T570">
        <v>37</v>
      </c>
    </row>
    <row r="571" spans="1:20" x14ac:dyDescent="0.45">
      <c r="A571" t="s">
        <v>21</v>
      </c>
      <c r="B571">
        <v>2022</v>
      </c>
      <c r="C571" t="s">
        <v>57</v>
      </c>
      <c r="D571" s="1">
        <v>44857</v>
      </c>
      <c r="E571" t="s">
        <v>23</v>
      </c>
      <c r="F571" t="s">
        <v>24</v>
      </c>
      <c r="G571">
        <v>48</v>
      </c>
      <c r="N571" s="2" t="s">
        <v>25</v>
      </c>
      <c r="P571" t="s">
        <v>26</v>
      </c>
      <c r="Q571" t="s">
        <v>33</v>
      </c>
      <c r="R571" t="s">
        <v>28</v>
      </c>
      <c r="S571" t="s">
        <v>29</v>
      </c>
      <c r="T571">
        <v>31</v>
      </c>
    </row>
    <row r="572" spans="1:20" x14ac:dyDescent="0.45">
      <c r="A572" t="s">
        <v>21</v>
      </c>
      <c r="B572">
        <v>2022</v>
      </c>
      <c r="C572" t="s">
        <v>58</v>
      </c>
      <c r="D572" s="1">
        <v>44864</v>
      </c>
      <c r="E572" t="s">
        <v>23</v>
      </c>
      <c r="F572" t="s">
        <v>24</v>
      </c>
      <c r="G572">
        <v>48</v>
      </c>
      <c r="N572" s="2" t="s">
        <v>25</v>
      </c>
      <c r="P572" t="s">
        <v>26</v>
      </c>
      <c r="Q572" t="s">
        <v>27</v>
      </c>
      <c r="R572" t="s">
        <v>28</v>
      </c>
      <c r="S572" t="s">
        <v>29</v>
      </c>
      <c r="T572">
        <v>3</v>
      </c>
    </row>
    <row r="573" spans="1:20" x14ac:dyDescent="0.45">
      <c r="A573" t="s">
        <v>21</v>
      </c>
      <c r="B573">
        <v>2022</v>
      </c>
      <c r="C573" t="s">
        <v>58</v>
      </c>
      <c r="D573" s="1">
        <v>44864</v>
      </c>
      <c r="E573" t="s">
        <v>23</v>
      </c>
      <c r="F573" t="s">
        <v>24</v>
      </c>
      <c r="G573">
        <v>48</v>
      </c>
      <c r="N573" s="2" t="s">
        <v>25</v>
      </c>
      <c r="P573" t="s">
        <v>26</v>
      </c>
      <c r="Q573" t="s">
        <v>30</v>
      </c>
      <c r="R573" t="s">
        <v>28</v>
      </c>
      <c r="S573" t="s">
        <v>29</v>
      </c>
      <c r="T573">
        <v>17</v>
      </c>
    </row>
    <row r="574" spans="1:20" x14ac:dyDescent="0.45">
      <c r="A574" t="s">
        <v>21</v>
      </c>
      <c r="B574">
        <v>2022</v>
      </c>
      <c r="C574" t="s">
        <v>58</v>
      </c>
      <c r="D574" s="1">
        <v>44864</v>
      </c>
      <c r="E574" t="s">
        <v>23</v>
      </c>
      <c r="F574" t="s">
        <v>24</v>
      </c>
      <c r="G574">
        <v>48</v>
      </c>
      <c r="N574" s="2" t="s">
        <v>25</v>
      </c>
      <c r="P574" t="s">
        <v>26</v>
      </c>
      <c r="Q574" t="s">
        <v>31</v>
      </c>
      <c r="R574" t="s">
        <v>28</v>
      </c>
      <c r="S574" t="s">
        <v>29</v>
      </c>
      <c r="T574">
        <v>10</v>
      </c>
    </row>
    <row r="575" spans="1:20" x14ac:dyDescent="0.45">
      <c r="A575" t="s">
        <v>21</v>
      </c>
      <c r="B575">
        <v>2022</v>
      </c>
      <c r="C575" t="s">
        <v>58</v>
      </c>
      <c r="D575" s="1">
        <v>44864</v>
      </c>
      <c r="E575" t="s">
        <v>23</v>
      </c>
      <c r="F575" t="s">
        <v>24</v>
      </c>
      <c r="G575">
        <v>48</v>
      </c>
      <c r="N575" s="2" t="s">
        <v>25</v>
      </c>
      <c r="P575" t="s">
        <v>26</v>
      </c>
      <c r="Q575" t="s">
        <v>32</v>
      </c>
      <c r="R575" t="s">
        <v>28</v>
      </c>
      <c r="S575" t="s">
        <v>29</v>
      </c>
      <c r="T575">
        <v>30</v>
      </c>
    </row>
    <row r="576" spans="1:20" x14ac:dyDescent="0.45">
      <c r="A576" t="s">
        <v>21</v>
      </c>
      <c r="B576">
        <v>2022</v>
      </c>
      <c r="C576" t="s">
        <v>58</v>
      </c>
      <c r="D576" s="1">
        <v>44864</v>
      </c>
      <c r="E576" t="s">
        <v>23</v>
      </c>
      <c r="F576" t="s">
        <v>24</v>
      </c>
      <c r="G576">
        <v>48</v>
      </c>
      <c r="N576" s="2" t="s">
        <v>25</v>
      </c>
      <c r="P576" t="s">
        <v>26</v>
      </c>
      <c r="Q576" t="s">
        <v>33</v>
      </c>
      <c r="R576" t="s">
        <v>28</v>
      </c>
      <c r="S576" t="s">
        <v>29</v>
      </c>
      <c r="T576">
        <v>40</v>
      </c>
    </row>
    <row r="577" spans="1:20" x14ac:dyDescent="0.45">
      <c r="A577" t="s">
        <v>21</v>
      </c>
      <c r="B577">
        <v>2022</v>
      </c>
      <c r="C577" t="s">
        <v>59</v>
      </c>
      <c r="D577" s="1">
        <v>44871</v>
      </c>
      <c r="E577" t="s">
        <v>23</v>
      </c>
      <c r="F577" t="s">
        <v>24</v>
      </c>
      <c r="G577">
        <v>48</v>
      </c>
      <c r="N577" s="2" t="s">
        <v>25</v>
      </c>
      <c r="P577" t="s">
        <v>26</v>
      </c>
      <c r="Q577" t="s">
        <v>27</v>
      </c>
      <c r="R577" t="s">
        <v>28</v>
      </c>
      <c r="S577" t="s">
        <v>29</v>
      </c>
      <c r="T577">
        <v>2</v>
      </c>
    </row>
    <row r="578" spans="1:20" x14ac:dyDescent="0.45">
      <c r="A578" t="s">
        <v>21</v>
      </c>
      <c r="B578">
        <v>2022</v>
      </c>
      <c r="C578" t="s">
        <v>59</v>
      </c>
      <c r="D578" s="1">
        <v>44871</v>
      </c>
      <c r="E578" t="s">
        <v>23</v>
      </c>
      <c r="F578" t="s">
        <v>24</v>
      </c>
      <c r="G578">
        <v>48</v>
      </c>
      <c r="N578" s="2" t="s">
        <v>25</v>
      </c>
      <c r="P578" t="s">
        <v>26</v>
      </c>
      <c r="Q578" t="s">
        <v>30</v>
      </c>
      <c r="R578" t="s">
        <v>28</v>
      </c>
      <c r="S578" t="s">
        <v>29</v>
      </c>
      <c r="T578">
        <v>18</v>
      </c>
    </row>
    <row r="579" spans="1:20" x14ac:dyDescent="0.45">
      <c r="A579" t="s">
        <v>21</v>
      </c>
      <c r="B579">
        <v>2022</v>
      </c>
      <c r="C579" t="s">
        <v>59</v>
      </c>
      <c r="D579" s="1">
        <v>44871</v>
      </c>
      <c r="E579" t="s">
        <v>23</v>
      </c>
      <c r="F579" t="s">
        <v>24</v>
      </c>
      <c r="G579">
        <v>48</v>
      </c>
      <c r="N579" s="2" t="s">
        <v>25</v>
      </c>
      <c r="P579" t="s">
        <v>26</v>
      </c>
      <c r="Q579" t="s">
        <v>31</v>
      </c>
      <c r="R579" t="s">
        <v>28</v>
      </c>
      <c r="S579" t="s">
        <v>29</v>
      </c>
      <c r="T579">
        <v>10</v>
      </c>
    </row>
    <row r="580" spans="1:20" x14ac:dyDescent="0.45">
      <c r="A580" t="s">
        <v>21</v>
      </c>
      <c r="B580">
        <v>2022</v>
      </c>
      <c r="C580" t="s">
        <v>59</v>
      </c>
      <c r="D580" s="1">
        <v>44871</v>
      </c>
      <c r="E580" t="s">
        <v>23</v>
      </c>
      <c r="F580" t="s">
        <v>24</v>
      </c>
      <c r="G580">
        <v>48</v>
      </c>
      <c r="N580" s="2" t="s">
        <v>25</v>
      </c>
      <c r="P580" t="s">
        <v>26</v>
      </c>
      <c r="Q580" t="s">
        <v>32</v>
      </c>
      <c r="R580" t="s">
        <v>28</v>
      </c>
      <c r="S580" t="s">
        <v>29</v>
      </c>
      <c r="T580">
        <v>23</v>
      </c>
    </row>
    <row r="581" spans="1:20" x14ac:dyDescent="0.45">
      <c r="A581" t="s">
        <v>21</v>
      </c>
      <c r="B581">
        <v>2022</v>
      </c>
      <c r="C581" t="s">
        <v>59</v>
      </c>
      <c r="D581" s="1">
        <v>44871</v>
      </c>
      <c r="E581" t="s">
        <v>23</v>
      </c>
      <c r="F581" t="s">
        <v>24</v>
      </c>
      <c r="G581">
        <v>48</v>
      </c>
      <c r="N581" s="2" t="s">
        <v>25</v>
      </c>
      <c r="P581" t="s">
        <v>26</v>
      </c>
      <c r="Q581" t="s">
        <v>33</v>
      </c>
      <c r="R581" t="s">
        <v>28</v>
      </c>
      <c r="S581" t="s">
        <v>29</v>
      </c>
      <c r="T581">
        <v>47</v>
      </c>
    </row>
    <row r="582" spans="1:20" x14ac:dyDescent="0.45">
      <c r="A582" t="s">
        <v>21</v>
      </c>
      <c r="B582">
        <v>2022</v>
      </c>
      <c r="C582" t="s">
        <v>60</v>
      </c>
      <c r="D582" s="1">
        <v>44878</v>
      </c>
      <c r="E582" t="s">
        <v>23</v>
      </c>
      <c r="F582" t="s">
        <v>24</v>
      </c>
      <c r="G582">
        <v>48</v>
      </c>
      <c r="N582" s="2" t="s">
        <v>25</v>
      </c>
      <c r="P582" t="s">
        <v>26</v>
      </c>
      <c r="Q582" t="s">
        <v>27</v>
      </c>
      <c r="R582" t="s">
        <v>28</v>
      </c>
      <c r="S582" t="s">
        <v>29</v>
      </c>
      <c r="T582">
        <v>2</v>
      </c>
    </row>
    <row r="583" spans="1:20" x14ac:dyDescent="0.45">
      <c r="A583" t="s">
        <v>21</v>
      </c>
      <c r="B583">
        <v>2022</v>
      </c>
      <c r="C583" t="s">
        <v>60</v>
      </c>
      <c r="D583" s="1">
        <v>44878</v>
      </c>
      <c r="E583" t="s">
        <v>23</v>
      </c>
      <c r="F583" t="s">
        <v>24</v>
      </c>
      <c r="G583">
        <v>48</v>
      </c>
      <c r="N583" s="2" t="s">
        <v>25</v>
      </c>
      <c r="P583" t="s">
        <v>26</v>
      </c>
      <c r="Q583" t="s">
        <v>30</v>
      </c>
      <c r="R583" t="s">
        <v>28</v>
      </c>
      <c r="S583" t="s">
        <v>29</v>
      </c>
      <c r="T583">
        <v>18</v>
      </c>
    </row>
    <row r="584" spans="1:20" x14ac:dyDescent="0.45">
      <c r="A584" t="s">
        <v>21</v>
      </c>
      <c r="B584">
        <v>2022</v>
      </c>
      <c r="C584" t="s">
        <v>60</v>
      </c>
      <c r="D584" s="1">
        <v>44878</v>
      </c>
      <c r="E584" t="s">
        <v>23</v>
      </c>
      <c r="F584" t="s">
        <v>24</v>
      </c>
      <c r="G584">
        <v>48</v>
      </c>
      <c r="N584" s="2" t="s">
        <v>25</v>
      </c>
      <c r="P584" t="s">
        <v>26</v>
      </c>
      <c r="Q584" t="s">
        <v>31</v>
      </c>
      <c r="R584" t="s">
        <v>28</v>
      </c>
      <c r="S584" t="s">
        <v>29</v>
      </c>
      <c r="T584">
        <v>10</v>
      </c>
    </row>
    <row r="585" spans="1:20" x14ac:dyDescent="0.45">
      <c r="A585" t="s">
        <v>21</v>
      </c>
      <c r="B585">
        <v>2022</v>
      </c>
      <c r="C585" t="s">
        <v>60</v>
      </c>
      <c r="D585" s="1">
        <v>44878</v>
      </c>
      <c r="E585" t="s">
        <v>23</v>
      </c>
      <c r="F585" t="s">
        <v>24</v>
      </c>
      <c r="G585">
        <v>48</v>
      </c>
      <c r="N585" s="2" t="s">
        <v>25</v>
      </c>
      <c r="P585" t="s">
        <v>26</v>
      </c>
      <c r="Q585" t="s">
        <v>32</v>
      </c>
      <c r="R585" t="s">
        <v>28</v>
      </c>
      <c r="S585" t="s">
        <v>29</v>
      </c>
      <c r="T585">
        <v>23</v>
      </c>
    </row>
    <row r="586" spans="1:20" x14ac:dyDescent="0.45">
      <c r="A586" t="s">
        <v>21</v>
      </c>
      <c r="B586">
        <v>2022</v>
      </c>
      <c r="C586" t="s">
        <v>60</v>
      </c>
      <c r="D586" s="1">
        <v>44878</v>
      </c>
      <c r="E586" t="s">
        <v>23</v>
      </c>
      <c r="F586" t="s">
        <v>24</v>
      </c>
      <c r="G586">
        <v>48</v>
      </c>
      <c r="N586" s="2" t="s">
        <v>25</v>
      </c>
      <c r="P586" t="s">
        <v>26</v>
      </c>
      <c r="Q586" t="s">
        <v>33</v>
      </c>
      <c r="R586" t="s">
        <v>28</v>
      </c>
      <c r="S586" t="s">
        <v>29</v>
      </c>
      <c r="T586">
        <v>47</v>
      </c>
    </row>
    <row r="587" spans="1:20" x14ac:dyDescent="0.45">
      <c r="A587" t="s">
        <v>21</v>
      </c>
      <c r="B587">
        <v>2022</v>
      </c>
      <c r="C587" t="s">
        <v>53</v>
      </c>
      <c r="D587" s="1">
        <v>44885</v>
      </c>
      <c r="E587" t="s">
        <v>23</v>
      </c>
      <c r="F587" t="s">
        <v>24</v>
      </c>
      <c r="G587">
        <v>48</v>
      </c>
      <c r="N587" s="2" t="s">
        <v>25</v>
      </c>
      <c r="P587" t="s">
        <v>26</v>
      </c>
      <c r="Q587" t="s">
        <v>27</v>
      </c>
      <c r="R587" t="s">
        <v>28</v>
      </c>
      <c r="S587" t="s">
        <v>29</v>
      </c>
      <c r="T587">
        <v>2</v>
      </c>
    </row>
    <row r="588" spans="1:20" x14ac:dyDescent="0.45">
      <c r="A588" t="s">
        <v>21</v>
      </c>
      <c r="B588">
        <v>2022</v>
      </c>
      <c r="C588" t="s">
        <v>53</v>
      </c>
      <c r="D588" s="1">
        <v>44885</v>
      </c>
      <c r="E588" t="s">
        <v>23</v>
      </c>
      <c r="F588" t="s">
        <v>24</v>
      </c>
      <c r="G588">
        <v>48</v>
      </c>
      <c r="N588" s="2" t="s">
        <v>25</v>
      </c>
      <c r="P588" t="s">
        <v>26</v>
      </c>
      <c r="Q588" t="s">
        <v>30</v>
      </c>
      <c r="R588" t="s">
        <v>28</v>
      </c>
      <c r="S588" t="s">
        <v>29</v>
      </c>
      <c r="T588">
        <v>18</v>
      </c>
    </row>
    <row r="589" spans="1:20" x14ac:dyDescent="0.45">
      <c r="A589" t="s">
        <v>21</v>
      </c>
      <c r="B589">
        <v>2022</v>
      </c>
      <c r="C589" t="s">
        <v>53</v>
      </c>
      <c r="D589" s="1">
        <v>44885</v>
      </c>
      <c r="E589" t="s">
        <v>23</v>
      </c>
      <c r="F589" t="s">
        <v>24</v>
      </c>
      <c r="G589">
        <v>48</v>
      </c>
      <c r="N589" s="2" t="s">
        <v>25</v>
      </c>
      <c r="P589" t="s">
        <v>26</v>
      </c>
      <c r="Q589" t="s">
        <v>31</v>
      </c>
      <c r="R589" t="s">
        <v>28</v>
      </c>
      <c r="S589" t="s">
        <v>29</v>
      </c>
      <c r="T589">
        <v>10</v>
      </c>
    </row>
    <row r="590" spans="1:20" x14ac:dyDescent="0.45">
      <c r="A590" t="s">
        <v>21</v>
      </c>
      <c r="B590">
        <v>2022</v>
      </c>
      <c r="C590" t="s">
        <v>53</v>
      </c>
      <c r="D590" s="1">
        <v>44885</v>
      </c>
      <c r="E590" t="s">
        <v>23</v>
      </c>
      <c r="F590" t="s">
        <v>24</v>
      </c>
      <c r="G590">
        <v>48</v>
      </c>
      <c r="N590" s="2" t="s">
        <v>25</v>
      </c>
      <c r="P590" t="s">
        <v>26</v>
      </c>
      <c r="Q590" t="s">
        <v>32</v>
      </c>
      <c r="R590" t="s">
        <v>28</v>
      </c>
      <c r="S590" t="s">
        <v>29</v>
      </c>
      <c r="T590">
        <v>23</v>
      </c>
    </row>
    <row r="591" spans="1:20" x14ac:dyDescent="0.45">
      <c r="A591" t="s">
        <v>21</v>
      </c>
      <c r="B591">
        <v>2022</v>
      </c>
      <c r="C591" t="s">
        <v>53</v>
      </c>
      <c r="D591" s="1">
        <v>44885</v>
      </c>
      <c r="E591" t="s">
        <v>23</v>
      </c>
      <c r="F591" t="s">
        <v>24</v>
      </c>
      <c r="G591">
        <v>48</v>
      </c>
      <c r="N591" s="2" t="s">
        <v>25</v>
      </c>
      <c r="P591" t="s">
        <v>26</v>
      </c>
      <c r="Q591" t="s">
        <v>33</v>
      </c>
      <c r="R591" t="s">
        <v>28</v>
      </c>
      <c r="S591" t="s">
        <v>29</v>
      </c>
      <c r="T591">
        <v>47</v>
      </c>
    </row>
    <row r="592" spans="1:20" x14ac:dyDescent="0.45">
      <c r="A592" t="s">
        <v>21</v>
      </c>
      <c r="B592">
        <v>2022</v>
      </c>
      <c r="C592" t="s">
        <v>54</v>
      </c>
      <c r="D592" s="1">
        <v>44892</v>
      </c>
      <c r="E592" t="s">
        <v>23</v>
      </c>
      <c r="F592" t="s">
        <v>24</v>
      </c>
      <c r="G592">
        <v>48</v>
      </c>
      <c r="N592" s="2" t="s">
        <v>25</v>
      </c>
      <c r="P592" t="s">
        <v>26</v>
      </c>
      <c r="Q592" t="s">
        <v>27</v>
      </c>
      <c r="R592" t="s">
        <v>28</v>
      </c>
      <c r="S592" t="s">
        <v>29</v>
      </c>
      <c r="T592">
        <v>2</v>
      </c>
    </row>
    <row r="593" spans="1:20" x14ac:dyDescent="0.45">
      <c r="A593" t="s">
        <v>21</v>
      </c>
      <c r="B593">
        <v>2022</v>
      </c>
      <c r="C593" t="s">
        <v>54</v>
      </c>
      <c r="D593" s="1">
        <v>44892</v>
      </c>
      <c r="E593" t="s">
        <v>23</v>
      </c>
      <c r="F593" t="s">
        <v>24</v>
      </c>
      <c r="G593">
        <v>48</v>
      </c>
      <c r="N593" s="2" t="s">
        <v>25</v>
      </c>
      <c r="P593" t="s">
        <v>26</v>
      </c>
      <c r="Q593" t="s">
        <v>30</v>
      </c>
      <c r="R593" t="s">
        <v>28</v>
      </c>
      <c r="S593" t="s">
        <v>29</v>
      </c>
      <c r="T593">
        <v>18</v>
      </c>
    </row>
    <row r="594" spans="1:20" x14ac:dyDescent="0.45">
      <c r="A594" t="s">
        <v>21</v>
      </c>
      <c r="B594">
        <v>2022</v>
      </c>
      <c r="C594" t="s">
        <v>54</v>
      </c>
      <c r="D594" s="1">
        <v>44892</v>
      </c>
      <c r="E594" t="s">
        <v>23</v>
      </c>
      <c r="F594" t="s">
        <v>24</v>
      </c>
      <c r="G594">
        <v>48</v>
      </c>
      <c r="N594" s="2" t="s">
        <v>25</v>
      </c>
      <c r="P594" t="s">
        <v>26</v>
      </c>
      <c r="Q594" t="s">
        <v>31</v>
      </c>
      <c r="R594" t="s">
        <v>28</v>
      </c>
      <c r="S594" t="s">
        <v>29</v>
      </c>
      <c r="T594">
        <v>10</v>
      </c>
    </row>
    <row r="595" spans="1:20" x14ac:dyDescent="0.45">
      <c r="A595" t="s">
        <v>21</v>
      </c>
      <c r="B595">
        <v>2022</v>
      </c>
      <c r="C595" t="s">
        <v>54</v>
      </c>
      <c r="D595" s="1">
        <v>44892</v>
      </c>
      <c r="E595" t="s">
        <v>23</v>
      </c>
      <c r="F595" t="s">
        <v>24</v>
      </c>
      <c r="G595">
        <v>48</v>
      </c>
      <c r="N595" s="2" t="s">
        <v>25</v>
      </c>
      <c r="P595" t="s">
        <v>26</v>
      </c>
      <c r="Q595" t="s">
        <v>32</v>
      </c>
      <c r="R595" t="s">
        <v>28</v>
      </c>
      <c r="S595" t="s">
        <v>29</v>
      </c>
      <c r="T595">
        <v>23</v>
      </c>
    </row>
    <row r="596" spans="1:20" x14ac:dyDescent="0.45">
      <c r="A596" t="s">
        <v>21</v>
      </c>
      <c r="B596">
        <v>2022</v>
      </c>
      <c r="C596" t="s">
        <v>54</v>
      </c>
      <c r="D596" s="1">
        <v>44892</v>
      </c>
      <c r="E596" t="s">
        <v>23</v>
      </c>
      <c r="F596" t="s">
        <v>24</v>
      </c>
      <c r="G596">
        <v>48</v>
      </c>
      <c r="N596" s="2" t="s">
        <v>25</v>
      </c>
      <c r="P596" t="s">
        <v>26</v>
      </c>
      <c r="Q596" t="s">
        <v>33</v>
      </c>
      <c r="R596" t="s">
        <v>28</v>
      </c>
      <c r="S596" t="s">
        <v>29</v>
      </c>
      <c r="T596">
        <v>47</v>
      </c>
    </row>
    <row r="597" spans="1:20" x14ac:dyDescent="0.45">
      <c r="A597" t="s">
        <v>21</v>
      </c>
      <c r="B597">
        <v>2021</v>
      </c>
      <c r="C597" t="s">
        <v>50</v>
      </c>
      <c r="D597" s="1">
        <v>44346</v>
      </c>
      <c r="E597" t="s">
        <v>23</v>
      </c>
      <c r="F597" t="s">
        <v>24</v>
      </c>
      <c r="G597">
        <v>48</v>
      </c>
      <c r="N597" s="2" t="s">
        <v>25</v>
      </c>
      <c r="P597" t="s">
        <v>26</v>
      </c>
      <c r="Q597" t="s">
        <v>27</v>
      </c>
      <c r="R597" t="s">
        <v>28</v>
      </c>
      <c r="S597" t="s">
        <v>29</v>
      </c>
      <c r="T597">
        <v>3</v>
      </c>
    </row>
    <row r="598" spans="1:20" x14ac:dyDescent="0.45">
      <c r="A598" t="s">
        <v>21</v>
      </c>
      <c r="B598">
        <v>2021</v>
      </c>
      <c r="C598" t="s">
        <v>50</v>
      </c>
      <c r="D598" s="1">
        <v>44346</v>
      </c>
      <c r="E598" t="s">
        <v>23</v>
      </c>
      <c r="F598" t="s">
        <v>24</v>
      </c>
      <c r="G598">
        <v>48</v>
      </c>
      <c r="N598" s="2" t="s">
        <v>25</v>
      </c>
      <c r="P598" t="s">
        <v>26</v>
      </c>
      <c r="Q598" t="s">
        <v>30</v>
      </c>
      <c r="R598" t="s">
        <v>28</v>
      </c>
      <c r="S598" t="s">
        <v>29</v>
      </c>
      <c r="T598">
        <v>50</v>
      </c>
    </row>
    <row r="599" spans="1:20" x14ac:dyDescent="0.45">
      <c r="A599" t="s">
        <v>21</v>
      </c>
      <c r="B599">
        <v>2021</v>
      </c>
      <c r="C599" t="s">
        <v>50</v>
      </c>
      <c r="D599" s="1">
        <v>44346</v>
      </c>
      <c r="E599" t="s">
        <v>23</v>
      </c>
      <c r="F599" t="s">
        <v>24</v>
      </c>
      <c r="G599">
        <v>48</v>
      </c>
      <c r="N599" s="2" t="s">
        <v>25</v>
      </c>
      <c r="P599" t="s">
        <v>26</v>
      </c>
      <c r="Q599" t="s">
        <v>31</v>
      </c>
      <c r="R599" t="s">
        <v>28</v>
      </c>
      <c r="S599" t="s">
        <v>29</v>
      </c>
      <c r="T599">
        <v>17</v>
      </c>
    </row>
    <row r="600" spans="1:20" x14ac:dyDescent="0.45">
      <c r="A600" t="s">
        <v>21</v>
      </c>
      <c r="B600">
        <v>2021</v>
      </c>
      <c r="C600" t="s">
        <v>50</v>
      </c>
      <c r="D600" s="1">
        <v>44346</v>
      </c>
      <c r="E600" t="s">
        <v>23</v>
      </c>
      <c r="F600" t="s">
        <v>24</v>
      </c>
      <c r="G600">
        <v>48</v>
      </c>
      <c r="N600" s="2" t="s">
        <v>25</v>
      </c>
      <c r="P600" t="s">
        <v>26</v>
      </c>
      <c r="Q600" t="s">
        <v>32</v>
      </c>
      <c r="R600" t="s">
        <v>28</v>
      </c>
      <c r="S600" t="s">
        <v>29</v>
      </c>
      <c r="T600">
        <v>28</v>
      </c>
    </row>
    <row r="601" spans="1:20" x14ac:dyDescent="0.45">
      <c r="A601" t="s">
        <v>21</v>
      </c>
      <c r="B601">
        <v>2021</v>
      </c>
      <c r="C601" t="s">
        <v>50</v>
      </c>
      <c r="D601" s="1">
        <v>44346</v>
      </c>
      <c r="E601" t="s">
        <v>23</v>
      </c>
      <c r="F601" t="s">
        <v>24</v>
      </c>
      <c r="G601">
        <v>48</v>
      </c>
      <c r="N601" s="2" t="s">
        <v>25</v>
      </c>
      <c r="P601" t="s">
        <v>26</v>
      </c>
      <c r="Q601" t="s">
        <v>33</v>
      </c>
      <c r="R601" t="s">
        <v>28</v>
      </c>
      <c r="S601" t="s">
        <v>29</v>
      </c>
      <c r="T601">
        <v>2</v>
      </c>
    </row>
    <row r="602" spans="1:20" x14ac:dyDescent="0.45">
      <c r="A602" t="s">
        <v>21</v>
      </c>
      <c r="B602">
        <v>2021</v>
      </c>
      <c r="C602" t="s">
        <v>51</v>
      </c>
      <c r="D602" s="1">
        <v>44353</v>
      </c>
      <c r="E602" t="s">
        <v>23</v>
      </c>
      <c r="F602" t="s">
        <v>24</v>
      </c>
      <c r="G602">
        <v>48</v>
      </c>
      <c r="N602" s="2" t="s">
        <v>25</v>
      </c>
      <c r="P602" t="s">
        <v>26</v>
      </c>
      <c r="Q602" t="s">
        <v>27</v>
      </c>
      <c r="R602" t="s">
        <v>28</v>
      </c>
      <c r="S602" t="s">
        <v>29</v>
      </c>
      <c r="T602">
        <v>3</v>
      </c>
    </row>
    <row r="603" spans="1:20" x14ac:dyDescent="0.45">
      <c r="A603" t="s">
        <v>21</v>
      </c>
      <c r="B603">
        <v>2021</v>
      </c>
      <c r="C603" t="s">
        <v>51</v>
      </c>
      <c r="D603" s="1">
        <v>44353</v>
      </c>
      <c r="E603" t="s">
        <v>23</v>
      </c>
      <c r="F603" t="s">
        <v>24</v>
      </c>
      <c r="G603">
        <v>48</v>
      </c>
      <c r="N603" s="2" t="s">
        <v>25</v>
      </c>
      <c r="P603" t="s">
        <v>26</v>
      </c>
      <c r="Q603" t="s">
        <v>30</v>
      </c>
      <c r="R603" t="s">
        <v>28</v>
      </c>
      <c r="S603" t="s">
        <v>29</v>
      </c>
      <c r="T603">
        <v>50</v>
      </c>
    </row>
    <row r="604" spans="1:20" x14ac:dyDescent="0.45">
      <c r="A604" t="s">
        <v>21</v>
      </c>
      <c r="B604">
        <v>2021</v>
      </c>
      <c r="C604" t="s">
        <v>51</v>
      </c>
      <c r="D604" s="1">
        <v>44353</v>
      </c>
      <c r="E604" t="s">
        <v>23</v>
      </c>
      <c r="F604" t="s">
        <v>24</v>
      </c>
      <c r="G604">
        <v>48</v>
      </c>
      <c r="N604" s="2" t="s">
        <v>25</v>
      </c>
      <c r="P604" t="s">
        <v>26</v>
      </c>
      <c r="Q604" t="s">
        <v>31</v>
      </c>
      <c r="R604" t="s">
        <v>28</v>
      </c>
      <c r="S604" t="s">
        <v>29</v>
      </c>
      <c r="T604">
        <v>26</v>
      </c>
    </row>
    <row r="605" spans="1:20" x14ac:dyDescent="0.45">
      <c r="A605" t="s">
        <v>21</v>
      </c>
      <c r="B605">
        <v>2021</v>
      </c>
      <c r="C605" t="s">
        <v>51</v>
      </c>
      <c r="D605" s="1">
        <v>44353</v>
      </c>
      <c r="E605" t="s">
        <v>23</v>
      </c>
      <c r="F605" t="s">
        <v>24</v>
      </c>
      <c r="G605">
        <v>48</v>
      </c>
      <c r="N605" s="2" t="s">
        <v>25</v>
      </c>
      <c r="P605" t="s">
        <v>26</v>
      </c>
      <c r="Q605" t="s">
        <v>32</v>
      </c>
      <c r="R605" t="s">
        <v>28</v>
      </c>
      <c r="S605" t="s">
        <v>29</v>
      </c>
      <c r="T605">
        <v>20</v>
      </c>
    </row>
    <row r="606" spans="1:20" x14ac:dyDescent="0.45">
      <c r="A606" t="s">
        <v>21</v>
      </c>
      <c r="B606">
        <v>2021</v>
      </c>
      <c r="C606" t="s">
        <v>51</v>
      </c>
      <c r="D606" s="1">
        <v>44353</v>
      </c>
      <c r="E606" t="s">
        <v>23</v>
      </c>
      <c r="F606" t="s">
        <v>24</v>
      </c>
      <c r="G606">
        <v>48</v>
      </c>
      <c r="N606" s="2" t="s">
        <v>25</v>
      </c>
      <c r="P606" t="s">
        <v>26</v>
      </c>
      <c r="Q606" t="s">
        <v>33</v>
      </c>
      <c r="R606" t="s">
        <v>28</v>
      </c>
      <c r="S606" t="s">
        <v>29</v>
      </c>
      <c r="T606">
        <v>1</v>
      </c>
    </row>
    <row r="607" spans="1:20" x14ac:dyDescent="0.45">
      <c r="A607" t="s">
        <v>21</v>
      </c>
      <c r="B607">
        <v>2021</v>
      </c>
      <c r="C607" t="s">
        <v>22</v>
      </c>
      <c r="D607" s="1">
        <v>44360</v>
      </c>
      <c r="E607" t="s">
        <v>23</v>
      </c>
      <c r="F607" t="s">
        <v>24</v>
      </c>
      <c r="G607">
        <v>48</v>
      </c>
      <c r="N607" s="2" t="s">
        <v>25</v>
      </c>
      <c r="P607" t="s">
        <v>26</v>
      </c>
      <c r="Q607" t="s">
        <v>27</v>
      </c>
      <c r="R607" t="s">
        <v>28</v>
      </c>
      <c r="S607" t="s">
        <v>29</v>
      </c>
      <c r="T607">
        <v>8</v>
      </c>
    </row>
    <row r="608" spans="1:20" x14ac:dyDescent="0.45">
      <c r="A608" t="s">
        <v>21</v>
      </c>
      <c r="B608">
        <v>2021</v>
      </c>
      <c r="C608" t="s">
        <v>22</v>
      </c>
      <c r="D608" s="1">
        <v>44360</v>
      </c>
      <c r="E608" t="s">
        <v>23</v>
      </c>
      <c r="F608" t="s">
        <v>24</v>
      </c>
      <c r="G608">
        <v>48</v>
      </c>
      <c r="N608" s="2" t="s">
        <v>25</v>
      </c>
      <c r="P608" t="s">
        <v>26</v>
      </c>
      <c r="Q608" t="s">
        <v>30</v>
      </c>
      <c r="R608" t="s">
        <v>28</v>
      </c>
      <c r="S608" t="s">
        <v>29</v>
      </c>
      <c r="T608">
        <v>61</v>
      </c>
    </row>
    <row r="609" spans="1:20" x14ac:dyDescent="0.45">
      <c r="A609" t="s">
        <v>21</v>
      </c>
      <c r="B609">
        <v>2021</v>
      </c>
      <c r="C609" t="s">
        <v>22</v>
      </c>
      <c r="D609" s="1">
        <v>44360</v>
      </c>
      <c r="E609" t="s">
        <v>23</v>
      </c>
      <c r="F609" t="s">
        <v>24</v>
      </c>
      <c r="G609">
        <v>48</v>
      </c>
      <c r="N609" s="2" t="s">
        <v>25</v>
      </c>
      <c r="P609" t="s">
        <v>26</v>
      </c>
      <c r="Q609" t="s">
        <v>31</v>
      </c>
      <c r="R609" t="s">
        <v>28</v>
      </c>
      <c r="S609" t="s">
        <v>29</v>
      </c>
      <c r="T609">
        <v>20</v>
      </c>
    </row>
    <row r="610" spans="1:20" x14ac:dyDescent="0.45">
      <c r="A610" t="s">
        <v>21</v>
      </c>
      <c r="B610">
        <v>2021</v>
      </c>
      <c r="C610" t="s">
        <v>22</v>
      </c>
      <c r="D610" s="1">
        <v>44360</v>
      </c>
      <c r="E610" t="s">
        <v>23</v>
      </c>
      <c r="F610" t="s">
        <v>24</v>
      </c>
      <c r="G610">
        <v>48</v>
      </c>
      <c r="N610" s="2" t="s">
        <v>25</v>
      </c>
      <c r="P610" t="s">
        <v>26</v>
      </c>
      <c r="Q610" t="s">
        <v>32</v>
      </c>
      <c r="R610" t="s">
        <v>28</v>
      </c>
      <c r="S610" t="s">
        <v>29</v>
      </c>
      <c r="T610">
        <v>10</v>
      </c>
    </row>
    <row r="611" spans="1:20" x14ac:dyDescent="0.45">
      <c r="A611" t="s">
        <v>21</v>
      </c>
      <c r="B611">
        <v>2021</v>
      </c>
      <c r="C611" t="s">
        <v>22</v>
      </c>
      <c r="D611" s="1">
        <v>44360</v>
      </c>
      <c r="E611" t="s">
        <v>23</v>
      </c>
      <c r="F611" t="s">
        <v>24</v>
      </c>
      <c r="G611">
        <v>48</v>
      </c>
      <c r="N611" s="2" t="s">
        <v>25</v>
      </c>
      <c r="P611" t="s">
        <v>26</v>
      </c>
      <c r="Q611" t="s">
        <v>33</v>
      </c>
      <c r="R611" t="s">
        <v>28</v>
      </c>
      <c r="S611" t="s">
        <v>29</v>
      </c>
      <c r="T611">
        <v>1</v>
      </c>
    </row>
    <row r="612" spans="1:20" x14ac:dyDescent="0.45">
      <c r="A612" t="s">
        <v>21</v>
      </c>
      <c r="B612">
        <v>2021</v>
      </c>
      <c r="C612" t="s">
        <v>34</v>
      </c>
      <c r="D612" s="1">
        <v>44367</v>
      </c>
      <c r="E612" t="s">
        <v>23</v>
      </c>
      <c r="F612" t="s">
        <v>24</v>
      </c>
      <c r="G612">
        <v>48</v>
      </c>
      <c r="N612" s="2" t="s">
        <v>25</v>
      </c>
      <c r="P612" t="s">
        <v>26</v>
      </c>
      <c r="Q612" t="s">
        <v>27</v>
      </c>
      <c r="R612" t="s">
        <v>28</v>
      </c>
      <c r="S612" t="s">
        <v>29</v>
      </c>
      <c r="T612">
        <v>7</v>
      </c>
    </row>
    <row r="613" spans="1:20" x14ac:dyDescent="0.45">
      <c r="A613" t="s">
        <v>21</v>
      </c>
      <c r="B613">
        <v>2021</v>
      </c>
      <c r="C613" t="s">
        <v>34</v>
      </c>
      <c r="D613" s="1">
        <v>44367</v>
      </c>
      <c r="E613" t="s">
        <v>23</v>
      </c>
      <c r="F613" t="s">
        <v>24</v>
      </c>
      <c r="G613">
        <v>48</v>
      </c>
      <c r="N613" s="2" t="s">
        <v>25</v>
      </c>
      <c r="P613" t="s">
        <v>26</v>
      </c>
      <c r="Q613" t="s">
        <v>30</v>
      </c>
      <c r="R613" t="s">
        <v>28</v>
      </c>
      <c r="S613" t="s">
        <v>29</v>
      </c>
      <c r="T613">
        <v>58</v>
      </c>
    </row>
    <row r="614" spans="1:20" x14ac:dyDescent="0.45">
      <c r="A614" t="s">
        <v>21</v>
      </c>
      <c r="B614">
        <v>2021</v>
      </c>
      <c r="C614" t="s">
        <v>34</v>
      </c>
      <c r="D614" s="1">
        <v>44367</v>
      </c>
      <c r="E614" t="s">
        <v>23</v>
      </c>
      <c r="F614" t="s">
        <v>24</v>
      </c>
      <c r="G614">
        <v>48</v>
      </c>
      <c r="N614" s="2" t="s">
        <v>25</v>
      </c>
      <c r="P614" t="s">
        <v>26</v>
      </c>
      <c r="Q614" t="s">
        <v>31</v>
      </c>
      <c r="R614" t="s">
        <v>28</v>
      </c>
      <c r="S614" t="s">
        <v>29</v>
      </c>
      <c r="T614">
        <v>28</v>
      </c>
    </row>
    <row r="615" spans="1:20" x14ac:dyDescent="0.45">
      <c r="A615" t="s">
        <v>21</v>
      </c>
      <c r="B615">
        <v>2021</v>
      </c>
      <c r="C615" t="s">
        <v>34</v>
      </c>
      <c r="D615" s="1">
        <v>44367</v>
      </c>
      <c r="E615" t="s">
        <v>23</v>
      </c>
      <c r="F615" t="s">
        <v>24</v>
      </c>
      <c r="G615">
        <v>48</v>
      </c>
      <c r="N615" s="2" t="s">
        <v>25</v>
      </c>
      <c r="P615" t="s">
        <v>26</v>
      </c>
      <c r="Q615" t="s">
        <v>32</v>
      </c>
      <c r="R615" t="s">
        <v>28</v>
      </c>
      <c r="S615" t="s">
        <v>29</v>
      </c>
      <c r="T615">
        <v>6</v>
      </c>
    </row>
    <row r="616" spans="1:20" x14ac:dyDescent="0.45">
      <c r="A616" t="s">
        <v>21</v>
      </c>
      <c r="B616">
        <v>2021</v>
      </c>
      <c r="C616" t="s">
        <v>34</v>
      </c>
      <c r="D616" s="1">
        <v>44367</v>
      </c>
      <c r="E616" t="s">
        <v>23</v>
      </c>
      <c r="F616" t="s">
        <v>24</v>
      </c>
      <c r="G616">
        <v>48</v>
      </c>
      <c r="N616" s="2" t="s">
        <v>25</v>
      </c>
      <c r="P616" t="s">
        <v>26</v>
      </c>
      <c r="Q616" t="s">
        <v>33</v>
      </c>
      <c r="R616" t="s">
        <v>28</v>
      </c>
      <c r="S616" t="s">
        <v>29</v>
      </c>
      <c r="T616">
        <v>1</v>
      </c>
    </row>
    <row r="617" spans="1:20" x14ac:dyDescent="0.45">
      <c r="A617" t="s">
        <v>21</v>
      </c>
      <c r="B617">
        <v>2021</v>
      </c>
      <c r="C617" t="s">
        <v>35</v>
      </c>
      <c r="D617" s="1">
        <v>44374</v>
      </c>
      <c r="E617" t="s">
        <v>23</v>
      </c>
      <c r="F617" t="s">
        <v>24</v>
      </c>
      <c r="G617">
        <v>48</v>
      </c>
      <c r="N617" s="2" t="s">
        <v>25</v>
      </c>
      <c r="P617" t="s">
        <v>26</v>
      </c>
      <c r="Q617" t="s">
        <v>27</v>
      </c>
      <c r="R617" t="s">
        <v>28</v>
      </c>
      <c r="S617" t="s">
        <v>29</v>
      </c>
      <c r="T617">
        <v>8</v>
      </c>
    </row>
    <row r="618" spans="1:20" x14ac:dyDescent="0.45">
      <c r="A618" t="s">
        <v>21</v>
      </c>
      <c r="B618">
        <v>2021</v>
      </c>
      <c r="C618" t="s">
        <v>35</v>
      </c>
      <c r="D618" s="1">
        <v>44374</v>
      </c>
      <c r="E618" t="s">
        <v>23</v>
      </c>
      <c r="F618" t="s">
        <v>24</v>
      </c>
      <c r="G618">
        <v>48</v>
      </c>
      <c r="N618" s="2" t="s">
        <v>25</v>
      </c>
      <c r="P618" t="s">
        <v>26</v>
      </c>
      <c r="Q618" t="s">
        <v>30</v>
      </c>
      <c r="R618" t="s">
        <v>28</v>
      </c>
      <c r="S618" t="s">
        <v>29</v>
      </c>
      <c r="T618">
        <v>55</v>
      </c>
    </row>
    <row r="619" spans="1:20" x14ac:dyDescent="0.45">
      <c r="A619" t="s">
        <v>21</v>
      </c>
      <c r="B619">
        <v>2021</v>
      </c>
      <c r="C619" t="s">
        <v>35</v>
      </c>
      <c r="D619" s="1">
        <v>44374</v>
      </c>
      <c r="E619" t="s">
        <v>23</v>
      </c>
      <c r="F619" t="s">
        <v>24</v>
      </c>
      <c r="G619">
        <v>48</v>
      </c>
      <c r="N619" s="2" t="s">
        <v>25</v>
      </c>
      <c r="P619" t="s">
        <v>26</v>
      </c>
      <c r="Q619" t="s">
        <v>31</v>
      </c>
      <c r="R619" t="s">
        <v>28</v>
      </c>
      <c r="S619" t="s">
        <v>29</v>
      </c>
      <c r="T619">
        <v>28</v>
      </c>
    </row>
    <row r="620" spans="1:20" x14ac:dyDescent="0.45">
      <c r="A620" t="s">
        <v>21</v>
      </c>
      <c r="B620">
        <v>2021</v>
      </c>
      <c r="C620" t="s">
        <v>35</v>
      </c>
      <c r="D620" s="1">
        <v>44374</v>
      </c>
      <c r="E620" t="s">
        <v>23</v>
      </c>
      <c r="F620" t="s">
        <v>24</v>
      </c>
      <c r="G620">
        <v>48</v>
      </c>
      <c r="N620" s="2" t="s">
        <v>25</v>
      </c>
      <c r="P620" t="s">
        <v>26</v>
      </c>
      <c r="Q620" t="s">
        <v>32</v>
      </c>
      <c r="R620" t="s">
        <v>28</v>
      </c>
      <c r="S620" t="s">
        <v>29</v>
      </c>
      <c r="T620">
        <v>8</v>
      </c>
    </row>
    <row r="621" spans="1:20" x14ac:dyDescent="0.45">
      <c r="A621" t="s">
        <v>21</v>
      </c>
      <c r="B621">
        <v>2021</v>
      </c>
      <c r="C621" t="s">
        <v>35</v>
      </c>
      <c r="D621" s="1">
        <v>44374</v>
      </c>
      <c r="E621" t="s">
        <v>23</v>
      </c>
      <c r="F621" t="s">
        <v>24</v>
      </c>
      <c r="G621">
        <v>48</v>
      </c>
      <c r="N621" s="2" t="s">
        <v>25</v>
      </c>
      <c r="P621" t="s">
        <v>26</v>
      </c>
      <c r="Q621" t="s">
        <v>33</v>
      </c>
      <c r="R621" t="s">
        <v>28</v>
      </c>
      <c r="S621" t="s">
        <v>29</v>
      </c>
      <c r="T621">
        <v>1</v>
      </c>
    </row>
    <row r="622" spans="1:20" x14ac:dyDescent="0.45">
      <c r="A622" t="s">
        <v>21</v>
      </c>
      <c r="B622">
        <v>2021</v>
      </c>
      <c r="C622" t="s">
        <v>36</v>
      </c>
      <c r="D622" s="1">
        <v>44381</v>
      </c>
      <c r="E622" t="s">
        <v>23</v>
      </c>
      <c r="F622" t="s">
        <v>24</v>
      </c>
      <c r="G622">
        <v>48</v>
      </c>
      <c r="N622" s="2" t="s">
        <v>25</v>
      </c>
      <c r="P622" t="s">
        <v>26</v>
      </c>
      <c r="Q622" t="s">
        <v>27</v>
      </c>
      <c r="R622" t="s">
        <v>28</v>
      </c>
      <c r="S622" t="s">
        <v>29</v>
      </c>
      <c r="T622">
        <v>6</v>
      </c>
    </row>
    <row r="623" spans="1:20" x14ac:dyDescent="0.45">
      <c r="A623" t="s">
        <v>21</v>
      </c>
      <c r="B623">
        <v>2021</v>
      </c>
      <c r="C623" t="s">
        <v>36</v>
      </c>
      <c r="D623" s="1">
        <v>44381</v>
      </c>
      <c r="E623" t="s">
        <v>23</v>
      </c>
      <c r="F623" t="s">
        <v>24</v>
      </c>
      <c r="G623">
        <v>48</v>
      </c>
      <c r="N623" s="2" t="s">
        <v>25</v>
      </c>
      <c r="P623" t="s">
        <v>26</v>
      </c>
      <c r="Q623" t="s">
        <v>30</v>
      </c>
      <c r="R623" t="s">
        <v>28</v>
      </c>
      <c r="S623" t="s">
        <v>29</v>
      </c>
      <c r="T623">
        <v>50</v>
      </c>
    </row>
    <row r="624" spans="1:20" x14ac:dyDescent="0.45">
      <c r="A624" t="s">
        <v>21</v>
      </c>
      <c r="B624">
        <v>2021</v>
      </c>
      <c r="C624" t="s">
        <v>36</v>
      </c>
      <c r="D624" s="1">
        <v>44381</v>
      </c>
      <c r="E624" t="s">
        <v>23</v>
      </c>
      <c r="F624" t="s">
        <v>24</v>
      </c>
      <c r="G624">
        <v>48</v>
      </c>
      <c r="N624" s="2" t="s">
        <v>25</v>
      </c>
      <c r="P624" t="s">
        <v>26</v>
      </c>
      <c r="Q624" t="s">
        <v>31</v>
      </c>
      <c r="R624" t="s">
        <v>28</v>
      </c>
      <c r="S624" t="s">
        <v>29</v>
      </c>
      <c r="T624">
        <v>31</v>
      </c>
    </row>
    <row r="625" spans="1:20" x14ac:dyDescent="0.45">
      <c r="A625" t="s">
        <v>21</v>
      </c>
      <c r="B625">
        <v>2021</v>
      </c>
      <c r="C625" t="s">
        <v>36</v>
      </c>
      <c r="D625" s="1">
        <v>44381</v>
      </c>
      <c r="E625" t="s">
        <v>23</v>
      </c>
      <c r="F625" t="s">
        <v>24</v>
      </c>
      <c r="G625">
        <v>48</v>
      </c>
      <c r="N625" s="2" t="s">
        <v>25</v>
      </c>
      <c r="P625" t="s">
        <v>26</v>
      </c>
      <c r="Q625" t="s">
        <v>32</v>
      </c>
      <c r="R625" t="s">
        <v>28</v>
      </c>
      <c r="S625" t="s">
        <v>29</v>
      </c>
      <c r="T625">
        <v>12</v>
      </c>
    </row>
    <row r="626" spans="1:20" x14ac:dyDescent="0.45">
      <c r="A626" t="s">
        <v>21</v>
      </c>
      <c r="B626">
        <v>2021</v>
      </c>
      <c r="C626" t="s">
        <v>36</v>
      </c>
      <c r="D626" s="1">
        <v>44381</v>
      </c>
      <c r="E626" t="s">
        <v>23</v>
      </c>
      <c r="F626" t="s">
        <v>24</v>
      </c>
      <c r="G626">
        <v>48</v>
      </c>
      <c r="N626" s="2" t="s">
        <v>25</v>
      </c>
      <c r="P626" t="s">
        <v>26</v>
      </c>
      <c r="Q626" t="s">
        <v>33</v>
      </c>
      <c r="R626" t="s">
        <v>28</v>
      </c>
      <c r="S626" t="s">
        <v>29</v>
      </c>
      <c r="T626">
        <v>1</v>
      </c>
    </row>
    <row r="627" spans="1:20" x14ac:dyDescent="0.45">
      <c r="A627" t="s">
        <v>21</v>
      </c>
      <c r="B627">
        <v>2021</v>
      </c>
      <c r="C627" t="s">
        <v>37</v>
      </c>
      <c r="D627" s="1">
        <v>44388</v>
      </c>
      <c r="E627" t="s">
        <v>23</v>
      </c>
      <c r="F627" t="s">
        <v>24</v>
      </c>
      <c r="G627">
        <v>48</v>
      </c>
      <c r="N627" s="2" t="s">
        <v>25</v>
      </c>
      <c r="P627" t="s">
        <v>26</v>
      </c>
      <c r="Q627" t="s">
        <v>27</v>
      </c>
      <c r="R627" t="s">
        <v>28</v>
      </c>
      <c r="S627" t="s">
        <v>29</v>
      </c>
      <c r="T627">
        <v>12</v>
      </c>
    </row>
    <row r="628" spans="1:20" x14ac:dyDescent="0.45">
      <c r="A628" t="s">
        <v>21</v>
      </c>
      <c r="B628">
        <v>2021</v>
      </c>
      <c r="C628" t="s">
        <v>37</v>
      </c>
      <c r="D628" s="1">
        <v>44388</v>
      </c>
      <c r="E628" t="s">
        <v>23</v>
      </c>
      <c r="F628" t="s">
        <v>24</v>
      </c>
      <c r="G628">
        <v>48</v>
      </c>
      <c r="N628" s="2" t="s">
        <v>25</v>
      </c>
      <c r="P628" t="s">
        <v>26</v>
      </c>
      <c r="Q628" t="s">
        <v>30</v>
      </c>
      <c r="R628" t="s">
        <v>28</v>
      </c>
      <c r="S628" t="s">
        <v>29</v>
      </c>
      <c r="T628">
        <v>45</v>
      </c>
    </row>
    <row r="629" spans="1:20" x14ac:dyDescent="0.45">
      <c r="A629" t="s">
        <v>21</v>
      </c>
      <c r="B629">
        <v>2021</v>
      </c>
      <c r="C629" t="s">
        <v>37</v>
      </c>
      <c r="D629" s="1">
        <v>44388</v>
      </c>
      <c r="E629" t="s">
        <v>23</v>
      </c>
      <c r="F629" t="s">
        <v>24</v>
      </c>
      <c r="G629">
        <v>48</v>
      </c>
      <c r="N629" s="2" t="s">
        <v>25</v>
      </c>
      <c r="P629" t="s">
        <v>26</v>
      </c>
      <c r="Q629" t="s">
        <v>31</v>
      </c>
      <c r="R629" t="s">
        <v>28</v>
      </c>
      <c r="S629" t="s">
        <v>29</v>
      </c>
      <c r="T629">
        <v>31</v>
      </c>
    </row>
    <row r="630" spans="1:20" x14ac:dyDescent="0.45">
      <c r="A630" t="s">
        <v>21</v>
      </c>
      <c r="B630">
        <v>2021</v>
      </c>
      <c r="C630" t="s">
        <v>37</v>
      </c>
      <c r="D630" s="1">
        <v>44388</v>
      </c>
      <c r="E630" t="s">
        <v>23</v>
      </c>
      <c r="F630" t="s">
        <v>24</v>
      </c>
      <c r="G630">
        <v>48</v>
      </c>
      <c r="N630" s="2" t="s">
        <v>25</v>
      </c>
      <c r="P630" t="s">
        <v>26</v>
      </c>
      <c r="Q630" t="s">
        <v>32</v>
      </c>
      <c r="R630" t="s">
        <v>28</v>
      </c>
      <c r="S630" t="s">
        <v>29</v>
      </c>
      <c r="T630">
        <v>11</v>
      </c>
    </row>
    <row r="631" spans="1:20" x14ac:dyDescent="0.45">
      <c r="A631" t="s">
        <v>21</v>
      </c>
      <c r="B631">
        <v>2021</v>
      </c>
      <c r="C631" t="s">
        <v>37</v>
      </c>
      <c r="D631" s="1">
        <v>44388</v>
      </c>
      <c r="E631" t="s">
        <v>23</v>
      </c>
      <c r="F631" t="s">
        <v>24</v>
      </c>
      <c r="G631">
        <v>48</v>
      </c>
      <c r="N631" s="2" t="s">
        <v>25</v>
      </c>
      <c r="P631" t="s">
        <v>26</v>
      </c>
      <c r="Q631" t="s">
        <v>33</v>
      </c>
      <c r="R631" t="s">
        <v>28</v>
      </c>
      <c r="S631" t="s">
        <v>29</v>
      </c>
      <c r="T631">
        <v>1</v>
      </c>
    </row>
    <row r="632" spans="1:20" x14ac:dyDescent="0.45">
      <c r="A632" t="s">
        <v>21</v>
      </c>
      <c r="B632">
        <v>2021</v>
      </c>
      <c r="C632" t="s">
        <v>38</v>
      </c>
      <c r="D632" s="1">
        <v>44395</v>
      </c>
      <c r="E632" t="s">
        <v>23</v>
      </c>
      <c r="F632" t="s">
        <v>24</v>
      </c>
      <c r="G632">
        <v>48</v>
      </c>
      <c r="N632" s="2" t="s">
        <v>25</v>
      </c>
      <c r="P632" t="s">
        <v>26</v>
      </c>
      <c r="Q632" t="s">
        <v>27</v>
      </c>
      <c r="R632" t="s">
        <v>28</v>
      </c>
      <c r="S632" t="s">
        <v>29</v>
      </c>
      <c r="T632">
        <v>12</v>
      </c>
    </row>
    <row r="633" spans="1:20" x14ac:dyDescent="0.45">
      <c r="A633" t="s">
        <v>21</v>
      </c>
      <c r="B633">
        <v>2021</v>
      </c>
      <c r="C633" t="s">
        <v>38</v>
      </c>
      <c r="D633" s="1">
        <v>44395</v>
      </c>
      <c r="E633" t="s">
        <v>23</v>
      </c>
      <c r="F633" t="s">
        <v>24</v>
      </c>
      <c r="G633">
        <v>48</v>
      </c>
      <c r="N633" s="2" t="s">
        <v>25</v>
      </c>
      <c r="P633" t="s">
        <v>26</v>
      </c>
      <c r="Q633" t="s">
        <v>30</v>
      </c>
      <c r="R633" t="s">
        <v>28</v>
      </c>
      <c r="S633" t="s">
        <v>29</v>
      </c>
      <c r="T633">
        <v>37</v>
      </c>
    </row>
    <row r="634" spans="1:20" x14ac:dyDescent="0.45">
      <c r="A634" t="s">
        <v>21</v>
      </c>
      <c r="B634">
        <v>2021</v>
      </c>
      <c r="C634" t="s">
        <v>38</v>
      </c>
      <c r="D634" s="1">
        <v>44395</v>
      </c>
      <c r="E634" t="s">
        <v>23</v>
      </c>
      <c r="F634" t="s">
        <v>24</v>
      </c>
      <c r="G634">
        <v>48</v>
      </c>
      <c r="N634" s="2" t="s">
        <v>25</v>
      </c>
      <c r="P634" t="s">
        <v>26</v>
      </c>
      <c r="Q634" t="s">
        <v>31</v>
      </c>
      <c r="R634" t="s">
        <v>28</v>
      </c>
      <c r="S634" t="s">
        <v>29</v>
      </c>
      <c r="T634">
        <v>40</v>
      </c>
    </row>
    <row r="635" spans="1:20" x14ac:dyDescent="0.45">
      <c r="A635" t="s">
        <v>21</v>
      </c>
      <c r="B635">
        <v>2021</v>
      </c>
      <c r="C635" t="s">
        <v>38</v>
      </c>
      <c r="D635" s="1">
        <v>44395</v>
      </c>
      <c r="E635" t="s">
        <v>23</v>
      </c>
      <c r="F635" t="s">
        <v>24</v>
      </c>
      <c r="G635">
        <v>48</v>
      </c>
      <c r="N635" s="2" t="s">
        <v>25</v>
      </c>
      <c r="P635" t="s">
        <v>26</v>
      </c>
      <c r="Q635" t="s">
        <v>32</v>
      </c>
      <c r="R635" t="s">
        <v>28</v>
      </c>
      <c r="S635" t="s">
        <v>29</v>
      </c>
      <c r="T635">
        <v>9</v>
      </c>
    </row>
    <row r="636" spans="1:20" x14ac:dyDescent="0.45">
      <c r="A636" t="s">
        <v>21</v>
      </c>
      <c r="B636">
        <v>2021</v>
      </c>
      <c r="C636" t="s">
        <v>38</v>
      </c>
      <c r="D636" s="1">
        <v>44395</v>
      </c>
      <c r="E636" t="s">
        <v>23</v>
      </c>
      <c r="F636" t="s">
        <v>24</v>
      </c>
      <c r="G636">
        <v>48</v>
      </c>
      <c r="N636" s="2" t="s">
        <v>25</v>
      </c>
      <c r="P636" t="s">
        <v>26</v>
      </c>
      <c r="Q636" t="s">
        <v>33</v>
      </c>
      <c r="R636" t="s">
        <v>28</v>
      </c>
      <c r="S636" t="s">
        <v>29</v>
      </c>
      <c r="T636">
        <v>2</v>
      </c>
    </row>
    <row r="637" spans="1:20" x14ac:dyDescent="0.45">
      <c r="A637" t="s">
        <v>21</v>
      </c>
      <c r="B637">
        <v>2021</v>
      </c>
      <c r="C637" t="s">
        <v>39</v>
      </c>
      <c r="D637" s="1">
        <v>44402</v>
      </c>
      <c r="E637" t="s">
        <v>23</v>
      </c>
      <c r="F637" t="s">
        <v>24</v>
      </c>
      <c r="G637">
        <v>48</v>
      </c>
      <c r="N637" s="2" t="s">
        <v>25</v>
      </c>
      <c r="P637" t="s">
        <v>26</v>
      </c>
      <c r="Q637" t="s">
        <v>27</v>
      </c>
      <c r="R637" t="s">
        <v>28</v>
      </c>
      <c r="S637" t="s">
        <v>29</v>
      </c>
      <c r="T637">
        <v>11</v>
      </c>
    </row>
    <row r="638" spans="1:20" x14ac:dyDescent="0.45">
      <c r="A638" t="s">
        <v>21</v>
      </c>
      <c r="B638">
        <v>2021</v>
      </c>
      <c r="C638" t="s">
        <v>39</v>
      </c>
      <c r="D638" s="1">
        <v>44402</v>
      </c>
      <c r="E638" t="s">
        <v>23</v>
      </c>
      <c r="F638" t="s">
        <v>24</v>
      </c>
      <c r="G638">
        <v>48</v>
      </c>
      <c r="N638" s="2" t="s">
        <v>25</v>
      </c>
      <c r="P638" t="s">
        <v>26</v>
      </c>
      <c r="Q638" t="s">
        <v>30</v>
      </c>
      <c r="R638" t="s">
        <v>28</v>
      </c>
      <c r="S638" t="s">
        <v>29</v>
      </c>
      <c r="T638">
        <v>37</v>
      </c>
    </row>
    <row r="639" spans="1:20" x14ac:dyDescent="0.45">
      <c r="A639" t="s">
        <v>21</v>
      </c>
      <c r="B639">
        <v>2021</v>
      </c>
      <c r="C639" t="s">
        <v>39</v>
      </c>
      <c r="D639" s="1">
        <v>44402</v>
      </c>
      <c r="E639" t="s">
        <v>23</v>
      </c>
      <c r="F639" t="s">
        <v>24</v>
      </c>
      <c r="G639">
        <v>48</v>
      </c>
      <c r="N639" s="2" t="s">
        <v>25</v>
      </c>
      <c r="P639" t="s">
        <v>26</v>
      </c>
      <c r="Q639" t="s">
        <v>31</v>
      </c>
      <c r="R639" t="s">
        <v>28</v>
      </c>
      <c r="S639" t="s">
        <v>29</v>
      </c>
      <c r="T639">
        <v>42</v>
      </c>
    </row>
    <row r="640" spans="1:20" x14ac:dyDescent="0.45">
      <c r="A640" t="s">
        <v>21</v>
      </c>
      <c r="B640">
        <v>2021</v>
      </c>
      <c r="C640" t="s">
        <v>39</v>
      </c>
      <c r="D640" s="1">
        <v>44402</v>
      </c>
      <c r="E640" t="s">
        <v>23</v>
      </c>
      <c r="F640" t="s">
        <v>24</v>
      </c>
      <c r="G640">
        <v>48</v>
      </c>
      <c r="N640" s="2" t="s">
        <v>25</v>
      </c>
      <c r="P640" t="s">
        <v>26</v>
      </c>
      <c r="Q640" t="s">
        <v>32</v>
      </c>
      <c r="R640" t="s">
        <v>28</v>
      </c>
      <c r="S640" t="s">
        <v>29</v>
      </c>
      <c r="T640">
        <v>9</v>
      </c>
    </row>
    <row r="641" spans="1:20" x14ac:dyDescent="0.45">
      <c r="A641" t="s">
        <v>21</v>
      </c>
      <c r="B641">
        <v>2021</v>
      </c>
      <c r="C641" t="s">
        <v>39</v>
      </c>
      <c r="D641" s="1">
        <v>44402</v>
      </c>
      <c r="E641" t="s">
        <v>23</v>
      </c>
      <c r="F641" t="s">
        <v>24</v>
      </c>
      <c r="G641">
        <v>48</v>
      </c>
      <c r="N641" s="2" t="s">
        <v>25</v>
      </c>
      <c r="P641" t="s">
        <v>26</v>
      </c>
      <c r="Q641" t="s">
        <v>33</v>
      </c>
      <c r="R641" t="s">
        <v>28</v>
      </c>
      <c r="S641" t="s">
        <v>29</v>
      </c>
      <c r="T641">
        <v>1</v>
      </c>
    </row>
    <row r="642" spans="1:20" x14ac:dyDescent="0.45">
      <c r="A642" t="s">
        <v>21</v>
      </c>
      <c r="B642">
        <v>2021</v>
      </c>
      <c r="C642" t="s">
        <v>40</v>
      </c>
      <c r="D642" s="1">
        <v>44409</v>
      </c>
      <c r="E642" t="s">
        <v>23</v>
      </c>
      <c r="F642" t="s">
        <v>24</v>
      </c>
      <c r="G642">
        <v>48</v>
      </c>
      <c r="N642" s="2" t="s">
        <v>25</v>
      </c>
      <c r="P642" t="s">
        <v>26</v>
      </c>
      <c r="Q642" t="s">
        <v>27</v>
      </c>
      <c r="R642" t="s">
        <v>28</v>
      </c>
      <c r="S642" t="s">
        <v>29</v>
      </c>
      <c r="T642">
        <v>11</v>
      </c>
    </row>
    <row r="643" spans="1:20" x14ac:dyDescent="0.45">
      <c r="A643" t="s">
        <v>21</v>
      </c>
      <c r="B643">
        <v>2021</v>
      </c>
      <c r="C643" t="s">
        <v>40</v>
      </c>
      <c r="D643" s="1">
        <v>44409</v>
      </c>
      <c r="E643" t="s">
        <v>23</v>
      </c>
      <c r="F643" t="s">
        <v>24</v>
      </c>
      <c r="G643">
        <v>48</v>
      </c>
      <c r="N643" s="2" t="s">
        <v>25</v>
      </c>
      <c r="P643" t="s">
        <v>26</v>
      </c>
      <c r="Q643" t="s">
        <v>30</v>
      </c>
      <c r="R643" t="s">
        <v>28</v>
      </c>
      <c r="S643" t="s">
        <v>29</v>
      </c>
      <c r="T643">
        <v>37</v>
      </c>
    </row>
    <row r="644" spans="1:20" x14ac:dyDescent="0.45">
      <c r="A644" t="s">
        <v>21</v>
      </c>
      <c r="B644">
        <v>2021</v>
      </c>
      <c r="C644" t="s">
        <v>40</v>
      </c>
      <c r="D644" s="1">
        <v>44409</v>
      </c>
      <c r="E644" t="s">
        <v>23</v>
      </c>
      <c r="F644" t="s">
        <v>24</v>
      </c>
      <c r="G644">
        <v>48</v>
      </c>
      <c r="N644" s="2" t="s">
        <v>25</v>
      </c>
      <c r="P644" t="s">
        <v>26</v>
      </c>
      <c r="Q644" t="s">
        <v>31</v>
      </c>
      <c r="R644" t="s">
        <v>28</v>
      </c>
      <c r="S644" t="s">
        <v>29</v>
      </c>
      <c r="T644">
        <v>43</v>
      </c>
    </row>
    <row r="645" spans="1:20" x14ac:dyDescent="0.45">
      <c r="A645" t="s">
        <v>21</v>
      </c>
      <c r="B645">
        <v>2021</v>
      </c>
      <c r="C645" t="s">
        <v>40</v>
      </c>
      <c r="D645" s="1">
        <v>44409</v>
      </c>
      <c r="E645" t="s">
        <v>23</v>
      </c>
      <c r="F645" t="s">
        <v>24</v>
      </c>
      <c r="G645">
        <v>48</v>
      </c>
      <c r="N645" s="2" t="s">
        <v>25</v>
      </c>
      <c r="P645" t="s">
        <v>26</v>
      </c>
      <c r="Q645" t="s">
        <v>32</v>
      </c>
      <c r="R645" t="s">
        <v>28</v>
      </c>
      <c r="S645" t="s">
        <v>29</v>
      </c>
      <c r="T645">
        <v>8</v>
      </c>
    </row>
    <row r="646" spans="1:20" x14ac:dyDescent="0.45">
      <c r="A646" t="s">
        <v>21</v>
      </c>
      <c r="B646">
        <v>2021</v>
      </c>
      <c r="C646" t="s">
        <v>40</v>
      </c>
      <c r="D646" s="1">
        <v>44409</v>
      </c>
      <c r="E646" t="s">
        <v>23</v>
      </c>
      <c r="F646" t="s">
        <v>24</v>
      </c>
      <c r="G646">
        <v>48</v>
      </c>
      <c r="N646" s="2" t="s">
        <v>25</v>
      </c>
      <c r="P646" t="s">
        <v>26</v>
      </c>
      <c r="Q646" t="s">
        <v>33</v>
      </c>
      <c r="R646" t="s">
        <v>28</v>
      </c>
      <c r="S646" t="s">
        <v>29</v>
      </c>
      <c r="T646">
        <v>1</v>
      </c>
    </row>
    <row r="647" spans="1:20" x14ac:dyDescent="0.45">
      <c r="A647" t="s">
        <v>21</v>
      </c>
      <c r="B647">
        <v>2021</v>
      </c>
      <c r="C647" t="s">
        <v>41</v>
      </c>
      <c r="D647" s="1">
        <v>44416</v>
      </c>
      <c r="E647" t="s">
        <v>23</v>
      </c>
      <c r="F647" t="s">
        <v>24</v>
      </c>
      <c r="G647">
        <v>48</v>
      </c>
      <c r="N647" s="2" t="s">
        <v>25</v>
      </c>
      <c r="P647" t="s">
        <v>26</v>
      </c>
      <c r="Q647" t="s">
        <v>27</v>
      </c>
      <c r="R647" t="s">
        <v>28</v>
      </c>
      <c r="S647" t="s">
        <v>29</v>
      </c>
      <c r="T647">
        <v>21</v>
      </c>
    </row>
    <row r="648" spans="1:20" x14ac:dyDescent="0.45">
      <c r="A648" t="s">
        <v>21</v>
      </c>
      <c r="B648">
        <v>2021</v>
      </c>
      <c r="C648" t="s">
        <v>41</v>
      </c>
      <c r="D648" s="1">
        <v>44416</v>
      </c>
      <c r="E648" t="s">
        <v>23</v>
      </c>
      <c r="F648" t="s">
        <v>24</v>
      </c>
      <c r="G648">
        <v>48</v>
      </c>
      <c r="N648" s="2" t="s">
        <v>25</v>
      </c>
      <c r="P648" t="s">
        <v>26</v>
      </c>
      <c r="Q648" t="s">
        <v>30</v>
      </c>
      <c r="R648" t="s">
        <v>28</v>
      </c>
      <c r="S648" t="s">
        <v>29</v>
      </c>
      <c r="T648">
        <v>30</v>
      </c>
    </row>
    <row r="649" spans="1:20" x14ac:dyDescent="0.45">
      <c r="A649" t="s">
        <v>21</v>
      </c>
      <c r="B649">
        <v>2021</v>
      </c>
      <c r="C649" t="s">
        <v>41</v>
      </c>
      <c r="D649" s="1">
        <v>44416</v>
      </c>
      <c r="E649" t="s">
        <v>23</v>
      </c>
      <c r="F649" t="s">
        <v>24</v>
      </c>
      <c r="G649">
        <v>48</v>
      </c>
      <c r="N649" s="2" t="s">
        <v>25</v>
      </c>
      <c r="P649" t="s">
        <v>26</v>
      </c>
      <c r="Q649" t="s">
        <v>31</v>
      </c>
      <c r="R649" t="s">
        <v>28</v>
      </c>
      <c r="S649" t="s">
        <v>29</v>
      </c>
      <c r="T649">
        <v>42</v>
      </c>
    </row>
    <row r="650" spans="1:20" x14ac:dyDescent="0.45">
      <c r="A650" t="s">
        <v>21</v>
      </c>
      <c r="B650">
        <v>2021</v>
      </c>
      <c r="C650" t="s">
        <v>41</v>
      </c>
      <c r="D650" s="1">
        <v>44416</v>
      </c>
      <c r="E650" t="s">
        <v>23</v>
      </c>
      <c r="F650" t="s">
        <v>24</v>
      </c>
      <c r="G650">
        <v>48</v>
      </c>
      <c r="N650" s="2" t="s">
        <v>25</v>
      </c>
      <c r="P650" t="s">
        <v>26</v>
      </c>
      <c r="Q650" t="s">
        <v>32</v>
      </c>
      <c r="R650" t="s">
        <v>28</v>
      </c>
      <c r="S650" t="s">
        <v>29</v>
      </c>
      <c r="T650">
        <v>6</v>
      </c>
    </row>
    <row r="651" spans="1:20" x14ac:dyDescent="0.45">
      <c r="A651" t="s">
        <v>21</v>
      </c>
      <c r="B651">
        <v>2021</v>
      </c>
      <c r="C651" t="s">
        <v>41</v>
      </c>
      <c r="D651" s="1">
        <v>44416</v>
      </c>
      <c r="E651" t="s">
        <v>23</v>
      </c>
      <c r="F651" t="s">
        <v>24</v>
      </c>
      <c r="G651">
        <v>48</v>
      </c>
      <c r="N651" s="2" t="s">
        <v>25</v>
      </c>
      <c r="P651" t="s">
        <v>26</v>
      </c>
      <c r="Q651" t="s">
        <v>33</v>
      </c>
      <c r="R651" t="s">
        <v>28</v>
      </c>
      <c r="S651" t="s">
        <v>29</v>
      </c>
      <c r="T651">
        <v>1</v>
      </c>
    </row>
    <row r="652" spans="1:20" x14ac:dyDescent="0.45">
      <c r="A652" t="s">
        <v>21</v>
      </c>
      <c r="B652">
        <v>2021</v>
      </c>
      <c r="C652" t="s">
        <v>42</v>
      </c>
      <c r="D652" s="1">
        <v>44423</v>
      </c>
      <c r="E652" t="s">
        <v>23</v>
      </c>
      <c r="F652" t="s">
        <v>24</v>
      </c>
      <c r="G652">
        <v>48</v>
      </c>
      <c r="N652" s="2" t="s">
        <v>25</v>
      </c>
      <c r="P652" t="s">
        <v>26</v>
      </c>
      <c r="Q652" t="s">
        <v>27</v>
      </c>
      <c r="R652" t="s">
        <v>28</v>
      </c>
      <c r="S652" t="s">
        <v>29</v>
      </c>
      <c r="T652">
        <v>19</v>
      </c>
    </row>
    <row r="653" spans="1:20" x14ac:dyDescent="0.45">
      <c r="A653" t="s">
        <v>21</v>
      </c>
      <c r="B653">
        <v>2021</v>
      </c>
      <c r="C653" t="s">
        <v>42</v>
      </c>
      <c r="D653" s="1">
        <v>44423</v>
      </c>
      <c r="E653" t="s">
        <v>23</v>
      </c>
      <c r="F653" t="s">
        <v>24</v>
      </c>
      <c r="G653">
        <v>48</v>
      </c>
      <c r="N653" s="2" t="s">
        <v>25</v>
      </c>
      <c r="P653" t="s">
        <v>26</v>
      </c>
      <c r="Q653" t="s">
        <v>30</v>
      </c>
      <c r="R653" t="s">
        <v>28</v>
      </c>
      <c r="S653" t="s">
        <v>29</v>
      </c>
      <c r="T653">
        <v>31</v>
      </c>
    </row>
    <row r="654" spans="1:20" x14ac:dyDescent="0.45">
      <c r="A654" t="s">
        <v>21</v>
      </c>
      <c r="B654">
        <v>2021</v>
      </c>
      <c r="C654" t="s">
        <v>42</v>
      </c>
      <c r="D654" s="1">
        <v>44423</v>
      </c>
      <c r="E654" t="s">
        <v>23</v>
      </c>
      <c r="F654" t="s">
        <v>24</v>
      </c>
      <c r="G654">
        <v>48</v>
      </c>
      <c r="N654" s="2" t="s">
        <v>25</v>
      </c>
      <c r="P654" t="s">
        <v>26</v>
      </c>
      <c r="Q654" t="s">
        <v>31</v>
      </c>
      <c r="R654" t="s">
        <v>28</v>
      </c>
      <c r="S654" t="s">
        <v>29</v>
      </c>
      <c r="T654">
        <v>45</v>
      </c>
    </row>
    <row r="655" spans="1:20" x14ac:dyDescent="0.45">
      <c r="A655" t="s">
        <v>21</v>
      </c>
      <c r="B655">
        <v>2021</v>
      </c>
      <c r="C655" t="s">
        <v>42</v>
      </c>
      <c r="D655" s="1">
        <v>44423</v>
      </c>
      <c r="E655" t="s">
        <v>23</v>
      </c>
      <c r="F655" t="s">
        <v>24</v>
      </c>
      <c r="G655">
        <v>48</v>
      </c>
      <c r="N655" s="2" t="s">
        <v>25</v>
      </c>
      <c r="P655" t="s">
        <v>26</v>
      </c>
      <c r="Q655" t="s">
        <v>32</v>
      </c>
      <c r="R655" t="s">
        <v>28</v>
      </c>
      <c r="S655" t="s">
        <v>29</v>
      </c>
      <c r="T655">
        <v>4</v>
      </c>
    </row>
    <row r="656" spans="1:20" x14ac:dyDescent="0.45">
      <c r="A656" t="s">
        <v>21</v>
      </c>
      <c r="B656">
        <v>2021</v>
      </c>
      <c r="C656" t="s">
        <v>42</v>
      </c>
      <c r="D656" s="1">
        <v>44423</v>
      </c>
      <c r="E656" t="s">
        <v>23</v>
      </c>
      <c r="F656" t="s">
        <v>24</v>
      </c>
      <c r="G656">
        <v>48</v>
      </c>
      <c r="N656" s="2" t="s">
        <v>25</v>
      </c>
      <c r="P656" t="s">
        <v>26</v>
      </c>
      <c r="Q656" t="s">
        <v>33</v>
      </c>
      <c r="R656" t="s">
        <v>28</v>
      </c>
      <c r="S656" t="s">
        <v>29</v>
      </c>
      <c r="T656">
        <v>1</v>
      </c>
    </row>
    <row r="657" spans="1:20" x14ac:dyDescent="0.45">
      <c r="A657" t="s">
        <v>21</v>
      </c>
      <c r="B657">
        <v>2021</v>
      </c>
      <c r="C657" t="s">
        <v>43</v>
      </c>
      <c r="D657" s="1">
        <v>44430</v>
      </c>
      <c r="E657" t="s">
        <v>23</v>
      </c>
      <c r="F657" t="s">
        <v>24</v>
      </c>
      <c r="G657">
        <v>48</v>
      </c>
      <c r="N657" s="2" t="s">
        <v>25</v>
      </c>
      <c r="P657" t="s">
        <v>26</v>
      </c>
      <c r="Q657" t="s">
        <v>27</v>
      </c>
      <c r="R657" t="s">
        <v>28</v>
      </c>
      <c r="S657" t="s">
        <v>29</v>
      </c>
      <c r="T657">
        <v>22</v>
      </c>
    </row>
    <row r="658" spans="1:20" x14ac:dyDescent="0.45">
      <c r="A658" t="s">
        <v>21</v>
      </c>
      <c r="B658">
        <v>2021</v>
      </c>
      <c r="C658" t="s">
        <v>43</v>
      </c>
      <c r="D658" s="1">
        <v>44430</v>
      </c>
      <c r="E658" t="s">
        <v>23</v>
      </c>
      <c r="F658" t="s">
        <v>24</v>
      </c>
      <c r="G658">
        <v>48</v>
      </c>
      <c r="N658" s="2" t="s">
        <v>25</v>
      </c>
      <c r="P658" t="s">
        <v>26</v>
      </c>
      <c r="Q658" t="s">
        <v>30</v>
      </c>
      <c r="R658" t="s">
        <v>28</v>
      </c>
      <c r="S658" t="s">
        <v>29</v>
      </c>
      <c r="T658">
        <v>23</v>
      </c>
    </row>
    <row r="659" spans="1:20" x14ac:dyDescent="0.45">
      <c r="A659" t="s">
        <v>21</v>
      </c>
      <c r="B659">
        <v>2021</v>
      </c>
      <c r="C659" t="s">
        <v>43</v>
      </c>
      <c r="D659" s="1">
        <v>44430</v>
      </c>
      <c r="E659" t="s">
        <v>23</v>
      </c>
      <c r="F659" t="s">
        <v>24</v>
      </c>
      <c r="G659">
        <v>48</v>
      </c>
      <c r="N659" s="2" t="s">
        <v>25</v>
      </c>
      <c r="P659" t="s">
        <v>26</v>
      </c>
      <c r="Q659" t="s">
        <v>31</v>
      </c>
      <c r="R659" t="s">
        <v>28</v>
      </c>
      <c r="S659" t="s">
        <v>29</v>
      </c>
      <c r="T659">
        <v>48</v>
      </c>
    </row>
    <row r="660" spans="1:20" x14ac:dyDescent="0.45">
      <c r="A660" t="s">
        <v>21</v>
      </c>
      <c r="B660">
        <v>2021</v>
      </c>
      <c r="C660" t="s">
        <v>43</v>
      </c>
      <c r="D660" s="1">
        <v>44430</v>
      </c>
      <c r="E660" t="s">
        <v>23</v>
      </c>
      <c r="F660" t="s">
        <v>24</v>
      </c>
      <c r="G660">
        <v>48</v>
      </c>
      <c r="N660" s="2" t="s">
        <v>25</v>
      </c>
      <c r="P660" t="s">
        <v>26</v>
      </c>
      <c r="Q660" t="s">
        <v>32</v>
      </c>
      <c r="R660" t="s">
        <v>28</v>
      </c>
      <c r="S660" t="s">
        <v>29</v>
      </c>
      <c r="T660">
        <v>6</v>
      </c>
    </row>
    <row r="661" spans="1:20" x14ac:dyDescent="0.45">
      <c r="A661" t="s">
        <v>21</v>
      </c>
      <c r="B661">
        <v>2021</v>
      </c>
      <c r="C661" t="s">
        <v>43</v>
      </c>
      <c r="D661" s="1">
        <v>44430</v>
      </c>
      <c r="E661" t="s">
        <v>23</v>
      </c>
      <c r="F661" t="s">
        <v>24</v>
      </c>
      <c r="G661">
        <v>48</v>
      </c>
      <c r="N661" s="2" t="s">
        <v>25</v>
      </c>
      <c r="P661" t="s">
        <v>26</v>
      </c>
      <c r="Q661" t="s">
        <v>33</v>
      </c>
      <c r="R661" t="s">
        <v>28</v>
      </c>
      <c r="S661" t="s">
        <v>29</v>
      </c>
      <c r="T661">
        <v>1</v>
      </c>
    </row>
    <row r="662" spans="1:20" x14ac:dyDescent="0.45">
      <c r="A662" t="s">
        <v>21</v>
      </c>
      <c r="B662">
        <v>2021</v>
      </c>
      <c r="C662" t="s">
        <v>44</v>
      </c>
      <c r="D662" s="1">
        <v>44437</v>
      </c>
      <c r="E662" t="s">
        <v>23</v>
      </c>
      <c r="F662" t="s">
        <v>24</v>
      </c>
      <c r="G662">
        <v>48</v>
      </c>
      <c r="N662" s="2" t="s">
        <v>25</v>
      </c>
      <c r="P662" t="s">
        <v>26</v>
      </c>
      <c r="Q662" t="s">
        <v>27</v>
      </c>
      <c r="R662" t="s">
        <v>28</v>
      </c>
      <c r="S662" t="s">
        <v>29</v>
      </c>
      <c r="T662">
        <v>18</v>
      </c>
    </row>
    <row r="663" spans="1:20" x14ac:dyDescent="0.45">
      <c r="A663" t="s">
        <v>21</v>
      </c>
      <c r="B663">
        <v>2021</v>
      </c>
      <c r="C663" t="s">
        <v>44</v>
      </c>
      <c r="D663" s="1">
        <v>44437</v>
      </c>
      <c r="E663" t="s">
        <v>23</v>
      </c>
      <c r="F663" t="s">
        <v>24</v>
      </c>
      <c r="G663">
        <v>48</v>
      </c>
      <c r="N663" s="2" t="s">
        <v>25</v>
      </c>
      <c r="P663" t="s">
        <v>26</v>
      </c>
      <c r="Q663" t="s">
        <v>30</v>
      </c>
      <c r="R663" t="s">
        <v>28</v>
      </c>
      <c r="S663" t="s">
        <v>29</v>
      </c>
      <c r="T663">
        <v>25</v>
      </c>
    </row>
    <row r="664" spans="1:20" x14ac:dyDescent="0.45">
      <c r="A664" t="s">
        <v>21</v>
      </c>
      <c r="B664">
        <v>2021</v>
      </c>
      <c r="C664" t="s">
        <v>44</v>
      </c>
      <c r="D664" s="1">
        <v>44437</v>
      </c>
      <c r="E664" t="s">
        <v>23</v>
      </c>
      <c r="F664" t="s">
        <v>24</v>
      </c>
      <c r="G664">
        <v>48</v>
      </c>
      <c r="N664" s="2" t="s">
        <v>25</v>
      </c>
      <c r="P664" t="s">
        <v>26</v>
      </c>
      <c r="Q664" t="s">
        <v>31</v>
      </c>
      <c r="R664" t="s">
        <v>28</v>
      </c>
      <c r="S664" t="s">
        <v>29</v>
      </c>
      <c r="T664">
        <v>50</v>
      </c>
    </row>
    <row r="665" spans="1:20" x14ac:dyDescent="0.45">
      <c r="A665" t="s">
        <v>21</v>
      </c>
      <c r="B665">
        <v>2021</v>
      </c>
      <c r="C665" t="s">
        <v>44</v>
      </c>
      <c r="D665" s="1">
        <v>44437</v>
      </c>
      <c r="E665" t="s">
        <v>23</v>
      </c>
      <c r="F665" t="s">
        <v>24</v>
      </c>
      <c r="G665">
        <v>48</v>
      </c>
      <c r="N665" s="2" t="s">
        <v>25</v>
      </c>
      <c r="P665" t="s">
        <v>26</v>
      </c>
      <c r="Q665" t="s">
        <v>32</v>
      </c>
      <c r="R665" t="s">
        <v>28</v>
      </c>
      <c r="S665" t="s">
        <v>29</v>
      </c>
      <c r="T665">
        <v>6</v>
      </c>
    </row>
    <row r="666" spans="1:20" x14ac:dyDescent="0.45">
      <c r="A666" t="s">
        <v>21</v>
      </c>
      <c r="B666">
        <v>2021</v>
      </c>
      <c r="C666" t="s">
        <v>44</v>
      </c>
      <c r="D666" s="1">
        <v>44437</v>
      </c>
      <c r="E666" t="s">
        <v>23</v>
      </c>
      <c r="F666" t="s">
        <v>24</v>
      </c>
      <c r="G666">
        <v>48</v>
      </c>
      <c r="N666" s="2" t="s">
        <v>25</v>
      </c>
      <c r="P666" t="s">
        <v>26</v>
      </c>
      <c r="Q666" t="s">
        <v>33</v>
      </c>
      <c r="R666" t="s">
        <v>28</v>
      </c>
      <c r="S666" t="s">
        <v>29</v>
      </c>
      <c r="T666">
        <v>1</v>
      </c>
    </row>
    <row r="667" spans="1:20" x14ac:dyDescent="0.45">
      <c r="A667" t="s">
        <v>21</v>
      </c>
      <c r="B667">
        <v>2021</v>
      </c>
      <c r="C667" t="s">
        <v>45</v>
      </c>
      <c r="D667" s="1">
        <v>44444</v>
      </c>
      <c r="E667" t="s">
        <v>23</v>
      </c>
      <c r="F667" t="s">
        <v>24</v>
      </c>
      <c r="G667">
        <v>48</v>
      </c>
      <c r="N667" s="2" t="s">
        <v>25</v>
      </c>
      <c r="P667" t="s">
        <v>26</v>
      </c>
      <c r="Q667" t="s">
        <v>27</v>
      </c>
      <c r="R667" t="s">
        <v>28</v>
      </c>
      <c r="S667" t="s">
        <v>29</v>
      </c>
      <c r="T667">
        <v>12</v>
      </c>
    </row>
    <row r="668" spans="1:20" x14ac:dyDescent="0.45">
      <c r="A668" t="s">
        <v>21</v>
      </c>
      <c r="B668">
        <v>2021</v>
      </c>
      <c r="C668" t="s">
        <v>45</v>
      </c>
      <c r="D668" s="1">
        <v>44444</v>
      </c>
      <c r="E668" t="s">
        <v>23</v>
      </c>
      <c r="F668" t="s">
        <v>24</v>
      </c>
      <c r="G668">
        <v>48</v>
      </c>
      <c r="N668" s="2" t="s">
        <v>25</v>
      </c>
      <c r="P668" t="s">
        <v>26</v>
      </c>
      <c r="Q668" t="s">
        <v>30</v>
      </c>
      <c r="R668" t="s">
        <v>28</v>
      </c>
      <c r="S668" t="s">
        <v>29</v>
      </c>
      <c r="T668">
        <v>37</v>
      </c>
    </row>
    <row r="669" spans="1:20" x14ac:dyDescent="0.45">
      <c r="A669" t="s">
        <v>21</v>
      </c>
      <c r="B669">
        <v>2021</v>
      </c>
      <c r="C669" t="s">
        <v>45</v>
      </c>
      <c r="D669" s="1">
        <v>44444</v>
      </c>
      <c r="E669" t="s">
        <v>23</v>
      </c>
      <c r="F669" t="s">
        <v>24</v>
      </c>
      <c r="G669">
        <v>48</v>
      </c>
      <c r="N669" s="2" t="s">
        <v>25</v>
      </c>
      <c r="P669" t="s">
        <v>26</v>
      </c>
      <c r="Q669" t="s">
        <v>31</v>
      </c>
      <c r="R669" t="s">
        <v>28</v>
      </c>
      <c r="S669" t="s">
        <v>29</v>
      </c>
      <c r="T669">
        <v>42</v>
      </c>
    </row>
    <row r="670" spans="1:20" x14ac:dyDescent="0.45">
      <c r="A670" t="s">
        <v>21</v>
      </c>
      <c r="B670">
        <v>2021</v>
      </c>
      <c r="C670" t="s">
        <v>45</v>
      </c>
      <c r="D670" s="1">
        <v>44444</v>
      </c>
      <c r="E670" t="s">
        <v>23</v>
      </c>
      <c r="F670" t="s">
        <v>24</v>
      </c>
      <c r="G670">
        <v>48</v>
      </c>
      <c r="N670" s="2" t="s">
        <v>25</v>
      </c>
      <c r="P670" t="s">
        <v>26</v>
      </c>
      <c r="Q670" t="s">
        <v>32</v>
      </c>
      <c r="R670" t="s">
        <v>28</v>
      </c>
      <c r="S670" t="s">
        <v>29</v>
      </c>
      <c r="T670">
        <v>8</v>
      </c>
    </row>
    <row r="671" spans="1:20" x14ac:dyDescent="0.45">
      <c r="A671" t="s">
        <v>21</v>
      </c>
      <c r="B671">
        <v>2021</v>
      </c>
      <c r="C671" t="s">
        <v>45</v>
      </c>
      <c r="D671" s="1">
        <v>44444</v>
      </c>
      <c r="E671" t="s">
        <v>23</v>
      </c>
      <c r="F671" t="s">
        <v>24</v>
      </c>
      <c r="G671">
        <v>48</v>
      </c>
      <c r="N671" s="2" t="s">
        <v>25</v>
      </c>
      <c r="P671" t="s">
        <v>26</v>
      </c>
      <c r="Q671" t="s">
        <v>33</v>
      </c>
      <c r="R671" t="s">
        <v>28</v>
      </c>
      <c r="S671" t="s">
        <v>29</v>
      </c>
      <c r="T671">
        <v>1</v>
      </c>
    </row>
    <row r="672" spans="1:20" x14ac:dyDescent="0.45">
      <c r="A672" t="s">
        <v>21</v>
      </c>
      <c r="B672">
        <v>2021</v>
      </c>
      <c r="C672" t="s">
        <v>46</v>
      </c>
      <c r="D672" s="1">
        <v>44451</v>
      </c>
      <c r="E672" t="s">
        <v>23</v>
      </c>
      <c r="F672" t="s">
        <v>24</v>
      </c>
      <c r="G672">
        <v>48</v>
      </c>
      <c r="N672" s="2" t="s">
        <v>25</v>
      </c>
      <c r="P672" t="s">
        <v>26</v>
      </c>
      <c r="Q672" t="s">
        <v>27</v>
      </c>
      <c r="R672" t="s">
        <v>28</v>
      </c>
      <c r="S672" t="s">
        <v>29</v>
      </c>
      <c r="T672">
        <v>15</v>
      </c>
    </row>
    <row r="673" spans="1:20" x14ac:dyDescent="0.45">
      <c r="A673" t="s">
        <v>21</v>
      </c>
      <c r="B673">
        <v>2021</v>
      </c>
      <c r="C673" t="s">
        <v>46</v>
      </c>
      <c r="D673" s="1">
        <v>44451</v>
      </c>
      <c r="E673" t="s">
        <v>23</v>
      </c>
      <c r="F673" t="s">
        <v>24</v>
      </c>
      <c r="G673">
        <v>48</v>
      </c>
      <c r="N673" s="2" t="s">
        <v>25</v>
      </c>
      <c r="P673" t="s">
        <v>26</v>
      </c>
      <c r="Q673" t="s">
        <v>30</v>
      </c>
      <c r="R673" t="s">
        <v>28</v>
      </c>
      <c r="S673" t="s">
        <v>29</v>
      </c>
      <c r="T673">
        <v>36</v>
      </c>
    </row>
    <row r="674" spans="1:20" x14ac:dyDescent="0.45">
      <c r="A674" t="s">
        <v>21</v>
      </c>
      <c r="B674">
        <v>2021</v>
      </c>
      <c r="C674" t="s">
        <v>46</v>
      </c>
      <c r="D674" s="1">
        <v>44451</v>
      </c>
      <c r="E674" t="s">
        <v>23</v>
      </c>
      <c r="F674" t="s">
        <v>24</v>
      </c>
      <c r="G674">
        <v>48</v>
      </c>
      <c r="N674" s="2" t="s">
        <v>25</v>
      </c>
      <c r="P674" t="s">
        <v>26</v>
      </c>
      <c r="Q674" t="s">
        <v>31</v>
      </c>
      <c r="R674" t="s">
        <v>28</v>
      </c>
      <c r="S674" t="s">
        <v>29</v>
      </c>
      <c r="T674">
        <v>43</v>
      </c>
    </row>
    <row r="675" spans="1:20" x14ac:dyDescent="0.45">
      <c r="A675" t="s">
        <v>21</v>
      </c>
      <c r="B675">
        <v>2021</v>
      </c>
      <c r="C675" t="s">
        <v>46</v>
      </c>
      <c r="D675" s="1">
        <v>44451</v>
      </c>
      <c r="E675" t="s">
        <v>23</v>
      </c>
      <c r="F675" t="s">
        <v>24</v>
      </c>
      <c r="G675">
        <v>48</v>
      </c>
      <c r="N675" s="2" t="s">
        <v>25</v>
      </c>
      <c r="P675" t="s">
        <v>26</v>
      </c>
      <c r="Q675" t="s">
        <v>32</v>
      </c>
      <c r="R675" t="s">
        <v>28</v>
      </c>
      <c r="S675" t="s">
        <v>29</v>
      </c>
      <c r="T675">
        <v>5</v>
      </c>
    </row>
    <row r="676" spans="1:20" x14ac:dyDescent="0.45">
      <c r="A676" t="s">
        <v>21</v>
      </c>
      <c r="B676">
        <v>2021</v>
      </c>
      <c r="C676" t="s">
        <v>46</v>
      </c>
      <c r="D676" s="1">
        <v>44451</v>
      </c>
      <c r="E676" t="s">
        <v>23</v>
      </c>
      <c r="F676" t="s">
        <v>24</v>
      </c>
      <c r="G676">
        <v>48</v>
      </c>
      <c r="N676" s="2" t="s">
        <v>25</v>
      </c>
      <c r="P676" t="s">
        <v>26</v>
      </c>
      <c r="Q676" t="s">
        <v>33</v>
      </c>
      <c r="R676" t="s">
        <v>28</v>
      </c>
      <c r="S676" t="s">
        <v>29</v>
      </c>
      <c r="T676">
        <v>1</v>
      </c>
    </row>
    <row r="677" spans="1:20" x14ac:dyDescent="0.45">
      <c r="A677" t="s">
        <v>21</v>
      </c>
      <c r="B677">
        <v>2021</v>
      </c>
      <c r="C677" t="s">
        <v>47</v>
      </c>
      <c r="D677" s="1">
        <v>44458</v>
      </c>
      <c r="E677" t="s">
        <v>23</v>
      </c>
      <c r="F677" t="s">
        <v>24</v>
      </c>
      <c r="G677">
        <v>48</v>
      </c>
      <c r="N677" s="2" t="s">
        <v>25</v>
      </c>
      <c r="P677" t="s">
        <v>26</v>
      </c>
      <c r="Q677" t="s">
        <v>27</v>
      </c>
      <c r="R677" t="s">
        <v>28</v>
      </c>
      <c r="S677" t="s">
        <v>29</v>
      </c>
      <c r="T677">
        <v>15</v>
      </c>
    </row>
    <row r="678" spans="1:20" x14ac:dyDescent="0.45">
      <c r="A678" t="s">
        <v>21</v>
      </c>
      <c r="B678">
        <v>2021</v>
      </c>
      <c r="C678" t="s">
        <v>47</v>
      </c>
      <c r="D678" s="1">
        <v>44458</v>
      </c>
      <c r="E678" t="s">
        <v>23</v>
      </c>
      <c r="F678" t="s">
        <v>24</v>
      </c>
      <c r="G678">
        <v>48</v>
      </c>
      <c r="N678" s="2" t="s">
        <v>25</v>
      </c>
      <c r="P678" t="s">
        <v>26</v>
      </c>
      <c r="Q678" t="s">
        <v>30</v>
      </c>
      <c r="R678" t="s">
        <v>28</v>
      </c>
      <c r="S678" t="s">
        <v>29</v>
      </c>
      <c r="T678">
        <v>32</v>
      </c>
    </row>
    <row r="679" spans="1:20" x14ac:dyDescent="0.45">
      <c r="A679" t="s">
        <v>21</v>
      </c>
      <c r="B679">
        <v>2021</v>
      </c>
      <c r="C679" t="s">
        <v>47</v>
      </c>
      <c r="D679" s="1">
        <v>44458</v>
      </c>
      <c r="E679" t="s">
        <v>23</v>
      </c>
      <c r="F679" t="s">
        <v>24</v>
      </c>
      <c r="G679">
        <v>48</v>
      </c>
      <c r="N679" s="2" t="s">
        <v>25</v>
      </c>
      <c r="P679" t="s">
        <v>26</v>
      </c>
      <c r="Q679" t="s">
        <v>31</v>
      </c>
      <c r="R679" t="s">
        <v>28</v>
      </c>
      <c r="S679" t="s">
        <v>29</v>
      </c>
      <c r="T679">
        <v>44</v>
      </c>
    </row>
    <row r="680" spans="1:20" x14ac:dyDescent="0.45">
      <c r="A680" t="s">
        <v>21</v>
      </c>
      <c r="B680">
        <v>2021</v>
      </c>
      <c r="C680" t="s">
        <v>47</v>
      </c>
      <c r="D680" s="1">
        <v>44458</v>
      </c>
      <c r="E680" t="s">
        <v>23</v>
      </c>
      <c r="F680" t="s">
        <v>24</v>
      </c>
      <c r="G680">
        <v>48</v>
      </c>
      <c r="N680" s="2" t="s">
        <v>25</v>
      </c>
      <c r="P680" t="s">
        <v>26</v>
      </c>
      <c r="Q680" t="s">
        <v>32</v>
      </c>
      <c r="R680" t="s">
        <v>28</v>
      </c>
      <c r="S680" t="s">
        <v>29</v>
      </c>
      <c r="T680">
        <v>8</v>
      </c>
    </row>
    <row r="681" spans="1:20" x14ac:dyDescent="0.45">
      <c r="A681" t="s">
        <v>21</v>
      </c>
      <c r="B681">
        <v>2021</v>
      </c>
      <c r="C681" t="s">
        <v>47</v>
      </c>
      <c r="D681" s="1">
        <v>44458</v>
      </c>
      <c r="E681" t="s">
        <v>23</v>
      </c>
      <c r="F681" t="s">
        <v>24</v>
      </c>
      <c r="G681">
        <v>48</v>
      </c>
      <c r="N681" s="2" t="s">
        <v>25</v>
      </c>
      <c r="P681" t="s">
        <v>26</v>
      </c>
      <c r="Q681" t="s">
        <v>33</v>
      </c>
      <c r="R681" t="s">
        <v>28</v>
      </c>
      <c r="S681" t="s">
        <v>29</v>
      </c>
      <c r="T681">
        <v>1</v>
      </c>
    </row>
    <row r="682" spans="1:20" x14ac:dyDescent="0.45">
      <c r="A682" t="s">
        <v>21</v>
      </c>
      <c r="B682">
        <v>2021</v>
      </c>
      <c r="C682" t="s">
        <v>48</v>
      </c>
      <c r="D682" s="1">
        <v>44465</v>
      </c>
      <c r="E682" t="s">
        <v>23</v>
      </c>
      <c r="F682" t="s">
        <v>24</v>
      </c>
      <c r="G682">
        <v>48</v>
      </c>
      <c r="N682" s="2" t="s">
        <v>25</v>
      </c>
      <c r="P682" t="s">
        <v>26</v>
      </c>
      <c r="Q682" t="s">
        <v>27</v>
      </c>
      <c r="R682" t="s">
        <v>28</v>
      </c>
      <c r="S682" t="s">
        <v>29</v>
      </c>
      <c r="T682">
        <v>9</v>
      </c>
    </row>
    <row r="683" spans="1:20" x14ac:dyDescent="0.45">
      <c r="A683" t="s">
        <v>21</v>
      </c>
      <c r="B683">
        <v>2021</v>
      </c>
      <c r="C683" t="s">
        <v>48</v>
      </c>
      <c r="D683" s="1">
        <v>44465</v>
      </c>
      <c r="E683" t="s">
        <v>23</v>
      </c>
      <c r="F683" t="s">
        <v>24</v>
      </c>
      <c r="G683">
        <v>48</v>
      </c>
      <c r="N683" s="2" t="s">
        <v>25</v>
      </c>
      <c r="P683" t="s">
        <v>26</v>
      </c>
      <c r="Q683" t="s">
        <v>30</v>
      </c>
      <c r="R683" t="s">
        <v>28</v>
      </c>
      <c r="S683" t="s">
        <v>29</v>
      </c>
      <c r="T683">
        <v>33</v>
      </c>
    </row>
    <row r="684" spans="1:20" x14ac:dyDescent="0.45">
      <c r="A684" t="s">
        <v>21</v>
      </c>
      <c r="B684">
        <v>2021</v>
      </c>
      <c r="C684" t="s">
        <v>48</v>
      </c>
      <c r="D684" s="1">
        <v>44465</v>
      </c>
      <c r="E684" t="s">
        <v>23</v>
      </c>
      <c r="F684" t="s">
        <v>24</v>
      </c>
      <c r="G684">
        <v>48</v>
      </c>
      <c r="N684" s="2" t="s">
        <v>25</v>
      </c>
      <c r="P684" t="s">
        <v>26</v>
      </c>
      <c r="Q684" t="s">
        <v>31</v>
      </c>
      <c r="R684" t="s">
        <v>28</v>
      </c>
      <c r="S684" t="s">
        <v>29</v>
      </c>
      <c r="T684">
        <v>53</v>
      </c>
    </row>
    <row r="685" spans="1:20" x14ac:dyDescent="0.45">
      <c r="A685" t="s">
        <v>21</v>
      </c>
      <c r="B685">
        <v>2021</v>
      </c>
      <c r="C685" t="s">
        <v>48</v>
      </c>
      <c r="D685" s="1">
        <v>44465</v>
      </c>
      <c r="E685" t="s">
        <v>23</v>
      </c>
      <c r="F685" t="s">
        <v>24</v>
      </c>
      <c r="G685">
        <v>48</v>
      </c>
      <c r="N685" s="2" t="s">
        <v>25</v>
      </c>
      <c r="P685" t="s">
        <v>26</v>
      </c>
      <c r="Q685" t="s">
        <v>32</v>
      </c>
      <c r="R685" t="s">
        <v>28</v>
      </c>
      <c r="S685" t="s">
        <v>29</v>
      </c>
      <c r="T685">
        <v>4</v>
      </c>
    </row>
    <row r="686" spans="1:20" x14ac:dyDescent="0.45">
      <c r="A686" t="s">
        <v>21</v>
      </c>
      <c r="B686">
        <v>2021</v>
      </c>
      <c r="C686" t="s">
        <v>48</v>
      </c>
      <c r="D686" s="1">
        <v>44465</v>
      </c>
      <c r="E686" t="s">
        <v>23</v>
      </c>
      <c r="F686" t="s">
        <v>24</v>
      </c>
      <c r="G686">
        <v>48</v>
      </c>
      <c r="N686" s="2" t="s">
        <v>25</v>
      </c>
      <c r="P686" t="s">
        <v>26</v>
      </c>
      <c r="Q686" t="s">
        <v>33</v>
      </c>
      <c r="R686" t="s">
        <v>28</v>
      </c>
      <c r="S686" t="s">
        <v>29</v>
      </c>
      <c r="T686">
        <v>1</v>
      </c>
    </row>
    <row r="687" spans="1:20" x14ac:dyDescent="0.45">
      <c r="A687" t="s">
        <v>21</v>
      </c>
      <c r="B687">
        <v>2021</v>
      </c>
      <c r="C687" t="s">
        <v>52</v>
      </c>
      <c r="D687" s="1">
        <v>44472</v>
      </c>
      <c r="E687" t="s">
        <v>23</v>
      </c>
      <c r="F687" t="s">
        <v>24</v>
      </c>
      <c r="G687">
        <v>48</v>
      </c>
      <c r="N687" s="2" t="s">
        <v>25</v>
      </c>
      <c r="P687" t="s">
        <v>26</v>
      </c>
      <c r="Q687" t="s">
        <v>27</v>
      </c>
      <c r="R687" t="s">
        <v>28</v>
      </c>
      <c r="S687" t="s">
        <v>29</v>
      </c>
      <c r="T687">
        <v>9</v>
      </c>
    </row>
    <row r="688" spans="1:20" x14ac:dyDescent="0.45">
      <c r="A688" t="s">
        <v>21</v>
      </c>
      <c r="B688">
        <v>2021</v>
      </c>
      <c r="C688" t="s">
        <v>52</v>
      </c>
      <c r="D688" s="1">
        <v>44472</v>
      </c>
      <c r="E688" t="s">
        <v>23</v>
      </c>
      <c r="F688" t="s">
        <v>24</v>
      </c>
      <c r="G688">
        <v>48</v>
      </c>
      <c r="N688" s="2" t="s">
        <v>25</v>
      </c>
      <c r="P688" t="s">
        <v>26</v>
      </c>
      <c r="Q688" t="s">
        <v>30</v>
      </c>
      <c r="R688" t="s">
        <v>28</v>
      </c>
      <c r="S688" t="s">
        <v>29</v>
      </c>
      <c r="T688">
        <v>37</v>
      </c>
    </row>
    <row r="689" spans="1:20" x14ac:dyDescent="0.45">
      <c r="A689" t="s">
        <v>21</v>
      </c>
      <c r="B689">
        <v>2021</v>
      </c>
      <c r="C689" t="s">
        <v>52</v>
      </c>
      <c r="D689" s="1">
        <v>44472</v>
      </c>
      <c r="E689" t="s">
        <v>23</v>
      </c>
      <c r="F689" t="s">
        <v>24</v>
      </c>
      <c r="G689">
        <v>48</v>
      </c>
      <c r="N689" s="2" t="s">
        <v>25</v>
      </c>
      <c r="P689" t="s">
        <v>26</v>
      </c>
      <c r="Q689" t="s">
        <v>31</v>
      </c>
      <c r="R689" t="s">
        <v>28</v>
      </c>
      <c r="S689" t="s">
        <v>29</v>
      </c>
      <c r="T689">
        <v>48</v>
      </c>
    </row>
    <row r="690" spans="1:20" x14ac:dyDescent="0.45">
      <c r="A690" t="s">
        <v>21</v>
      </c>
      <c r="B690">
        <v>2021</v>
      </c>
      <c r="C690" t="s">
        <v>52</v>
      </c>
      <c r="D690" s="1">
        <v>44472</v>
      </c>
      <c r="E690" t="s">
        <v>23</v>
      </c>
      <c r="F690" t="s">
        <v>24</v>
      </c>
      <c r="G690">
        <v>48</v>
      </c>
      <c r="N690" s="2" t="s">
        <v>25</v>
      </c>
      <c r="P690" t="s">
        <v>26</v>
      </c>
      <c r="Q690" t="s">
        <v>32</v>
      </c>
      <c r="R690" t="s">
        <v>28</v>
      </c>
      <c r="S690" t="s">
        <v>29</v>
      </c>
      <c r="T690">
        <v>5</v>
      </c>
    </row>
    <row r="691" spans="1:20" x14ac:dyDescent="0.45">
      <c r="A691" t="s">
        <v>21</v>
      </c>
      <c r="B691">
        <v>2021</v>
      </c>
      <c r="C691" t="s">
        <v>52</v>
      </c>
      <c r="D691" s="1">
        <v>44472</v>
      </c>
      <c r="E691" t="s">
        <v>23</v>
      </c>
      <c r="F691" t="s">
        <v>24</v>
      </c>
      <c r="G691">
        <v>48</v>
      </c>
      <c r="N691" s="2" t="s">
        <v>25</v>
      </c>
      <c r="P691" t="s">
        <v>26</v>
      </c>
      <c r="Q691" t="s">
        <v>33</v>
      </c>
      <c r="R691" t="s">
        <v>28</v>
      </c>
      <c r="S691" t="s">
        <v>29</v>
      </c>
      <c r="T691">
        <v>1</v>
      </c>
    </row>
    <row r="692" spans="1:20" x14ac:dyDescent="0.45">
      <c r="A692" t="s">
        <v>21</v>
      </c>
      <c r="B692">
        <v>2021</v>
      </c>
      <c r="C692" t="s">
        <v>55</v>
      </c>
      <c r="D692" s="1">
        <v>44479</v>
      </c>
      <c r="E692" t="s">
        <v>23</v>
      </c>
      <c r="F692" t="s">
        <v>24</v>
      </c>
      <c r="G692">
        <v>48</v>
      </c>
      <c r="N692" s="2" t="s">
        <v>25</v>
      </c>
      <c r="P692" t="s">
        <v>26</v>
      </c>
      <c r="Q692" t="s">
        <v>27</v>
      </c>
      <c r="R692" t="s">
        <v>28</v>
      </c>
      <c r="S692" t="s">
        <v>29</v>
      </c>
      <c r="T692">
        <v>10</v>
      </c>
    </row>
    <row r="693" spans="1:20" x14ac:dyDescent="0.45">
      <c r="A693" t="s">
        <v>21</v>
      </c>
      <c r="B693">
        <v>2021</v>
      </c>
      <c r="C693" t="s">
        <v>55</v>
      </c>
      <c r="D693" s="1">
        <v>44479</v>
      </c>
      <c r="E693" t="s">
        <v>23</v>
      </c>
      <c r="F693" t="s">
        <v>24</v>
      </c>
      <c r="G693">
        <v>48</v>
      </c>
      <c r="N693" s="2" t="s">
        <v>25</v>
      </c>
      <c r="P693" t="s">
        <v>26</v>
      </c>
      <c r="Q693" t="s">
        <v>30</v>
      </c>
      <c r="R693" t="s">
        <v>28</v>
      </c>
      <c r="S693" t="s">
        <v>29</v>
      </c>
      <c r="T693">
        <v>33</v>
      </c>
    </row>
    <row r="694" spans="1:20" x14ac:dyDescent="0.45">
      <c r="A694" t="s">
        <v>21</v>
      </c>
      <c r="B694">
        <v>2021</v>
      </c>
      <c r="C694" t="s">
        <v>55</v>
      </c>
      <c r="D694" s="1">
        <v>44479</v>
      </c>
      <c r="E694" t="s">
        <v>23</v>
      </c>
      <c r="F694" t="s">
        <v>24</v>
      </c>
      <c r="G694">
        <v>48</v>
      </c>
      <c r="N694" s="2" t="s">
        <v>25</v>
      </c>
      <c r="P694" t="s">
        <v>26</v>
      </c>
      <c r="Q694" t="s">
        <v>31</v>
      </c>
      <c r="R694" t="s">
        <v>28</v>
      </c>
      <c r="S694" t="s">
        <v>29</v>
      </c>
      <c r="T694">
        <v>52</v>
      </c>
    </row>
    <row r="695" spans="1:20" x14ac:dyDescent="0.45">
      <c r="A695" t="s">
        <v>21</v>
      </c>
      <c r="B695">
        <v>2021</v>
      </c>
      <c r="C695" t="s">
        <v>55</v>
      </c>
      <c r="D695" s="1">
        <v>44479</v>
      </c>
      <c r="E695" t="s">
        <v>23</v>
      </c>
      <c r="F695" t="s">
        <v>24</v>
      </c>
      <c r="G695">
        <v>48</v>
      </c>
      <c r="N695" s="2" t="s">
        <v>25</v>
      </c>
      <c r="P695" t="s">
        <v>26</v>
      </c>
      <c r="Q695" t="s">
        <v>32</v>
      </c>
      <c r="R695" t="s">
        <v>28</v>
      </c>
      <c r="S695" t="s">
        <v>29</v>
      </c>
      <c r="T695">
        <v>4</v>
      </c>
    </row>
    <row r="696" spans="1:20" x14ac:dyDescent="0.45">
      <c r="A696" t="s">
        <v>21</v>
      </c>
      <c r="B696">
        <v>2021</v>
      </c>
      <c r="C696" t="s">
        <v>55</v>
      </c>
      <c r="D696" s="1">
        <v>44479</v>
      </c>
      <c r="E696" t="s">
        <v>23</v>
      </c>
      <c r="F696" t="s">
        <v>24</v>
      </c>
      <c r="G696">
        <v>48</v>
      </c>
      <c r="N696" s="2" t="s">
        <v>25</v>
      </c>
      <c r="P696" t="s">
        <v>26</v>
      </c>
      <c r="Q696" t="s">
        <v>33</v>
      </c>
      <c r="R696" t="s">
        <v>28</v>
      </c>
      <c r="S696" t="s">
        <v>29</v>
      </c>
      <c r="T696">
        <v>1</v>
      </c>
    </row>
    <row r="697" spans="1:20" x14ac:dyDescent="0.45">
      <c r="A697" t="s">
        <v>21</v>
      </c>
      <c r="B697">
        <v>2021</v>
      </c>
      <c r="C697" t="s">
        <v>56</v>
      </c>
      <c r="D697" s="1">
        <v>44486</v>
      </c>
      <c r="E697" t="s">
        <v>23</v>
      </c>
      <c r="F697" t="s">
        <v>24</v>
      </c>
      <c r="G697">
        <v>48</v>
      </c>
      <c r="N697" s="2" t="s">
        <v>25</v>
      </c>
      <c r="P697" t="s">
        <v>26</v>
      </c>
      <c r="Q697" t="s">
        <v>27</v>
      </c>
      <c r="R697" t="s">
        <v>28</v>
      </c>
      <c r="S697" t="s">
        <v>29</v>
      </c>
      <c r="T697">
        <v>11</v>
      </c>
    </row>
    <row r="698" spans="1:20" x14ac:dyDescent="0.45">
      <c r="A698" t="s">
        <v>21</v>
      </c>
      <c r="B698">
        <v>2021</v>
      </c>
      <c r="C698" t="s">
        <v>56</v>
      </c>
      <c r="D698" s="1">
        <v>44486</v>
      </c>
      <c r="E698" t="s">
        <v>23</v>
      </c>
      <c r="F698" t="s">
        <v>24</v>
      </c>
      <c r="G698">
        <v>48</v>
      </c>
      <c r="N698" s="2" t="s">
        <v>25</v>
      </c>
      <c r="P698" t="s">
        <v>26</v>
      </c>
      <c r="Q698" t="s">
        <v>30</v>
      </c>
      <c r="R698" t="s">
        <v>28</v>
      </c>
      <c r="S698" t="s">
        <v>29</v>
      </c>
      <c r="T698">
        <v>36</v>
      </c>
    </row>
    <row r="699" spans="1:20" x14ac:dyDescent="0.45">
      <c r="A699" t="s">
        <v>21</v>
      </c>
      <c r="B699">
        <v>2021</v>
      </c>
      <c r="C699" t="s">
        <v>56</v>
      </c>
      <c r="D699" s="1">
        <v>44486</v>
      </c>
      <c r="E699" t="s">
        <v>23</v>
      </c>
      <c r="F699" t="s">
        <v>24</v>
      </c>
      <c r="G699">
        <v>48</v>
      </c>
      <c r="N699" s="2" t="s">
        <v>25</v>
      </c>
      <c r="P699" t="s">
        <v>26</v>
      </c>
      <c r="Q699" t="s">
        <v>31</v>
      </c>
      <c r="R699" t="s">
        <v>28</v>
      </c>
      <c r="S699" t="s">
        <v>29</v>
      </c>
      <c r="T699">
        <v>50</v>
      </c>
    </row>
    <row r="700" spans="1:20" x14ac:dyDescent="0.45">
      <c r="A700" t="s">
        <v>21</v>
      </c>
      <c r="B700">
        <v>2021</v>
      </c>
      <c r="C700" t="s">
        <v>56</v>
      </c>
      <c r="D700" s="1">
        <v>44486</v>
      </c>
      <c r="E700" t="s">
        <v>23</v>
      </c>
      <c r="F700" t="s">
        <v>24</v>
      </c>
      <c r="G700">
        <v>48</v>
      </c>
      <c r="N700" s="2" t="s">
        <v>25</v>
      </c>
      <c r="P700" t="s">
        <v>26</v>
      </c>
      <c r="Q700" t="s">
        <v>32</v>
      </c>
      <c r="R700" t="s">
        <v>28</v>
      </c>
      <c r="S700" t="s">
        <v>29</v>
      </c>
      <c r="T700">
        <v>2</v>
      </c>
    </row>
    <row r="701" spans="1:20" x14ac:dyDescent="0.45">
      <c r="A701" t="s">
        <v>21</v>
      </c>
      <c r="B701">
        <v>2021</v>
      </c>
      <c r="C701" t="s">
        <v>56</v>
      </c>
      <c r="D701" s="1">
        <v>44486</v>
      </c>
      <c r="E701" t="s">
        <v>23</v>
      </c>
      <c r="F701" t="s">
        <v>24</v>
      </c>
      <c r="G701">
        <v>48</v>
      </c>
      <c r="N701" s="2" t="s">
        <v>25</v>
      </c>
      <c r="P701" t="s">
        <v>26</v>
      </c>
      <c r="Q701" t="s">
        <v>33</v>
      </c>
      <c r="R701" t="s">
        <v>28</v>
      </c>
      <c r="S701" t="s">
        <v>29</v>
      </c>
      <c r="T701">
        <v>1</v>
      </c>
    </row>
    <row r="702" spans="1:20" x14ac:dyDescent="0.45">
      <c r="A702" t="s">
        <v>21</v>
      </c>
      <c r="B702">
        <v>2021</v>
      </c>
      <c r="C702" t="s">
        <v>57</v>
      </c>
      <c r="D702" s="1">
        <v>44493</v>
      </c>
      <c r="E702" t="s">
        <v>23</v>
      </c>
      <c r="F702" t="s">
        <v>24</v>
      </c>
      <c r="G702">
        <v>48</v>
      </c>
      <c r="N702" s="2" t="s">
        <v>25</v>
      </c>
      <c r="P702" t="s">
        <v>26</v>
      </c>
      <c r="Q702" t="s">
        <v>27</v>
      </c>
      <c r="R702" t="s">
        <v>28</v>
      </c>
      <c r="S702" t="s">
        <v>29</v>
      </c>
      <c r="T702">
        <v>19</v>
      </c>
    </row>
    <row r="703" spans="1:20" x14ac:dyDescent="0.45">
      <c r="A703" t="s">
        <v>21</v>
      </c>
      <c r="B703">
        <v>2021</v>
      </c>
      <c r="C703" t="s">
        <v>57</v>
      </c>
      <c r="D703" s="1">
        <v>44493</v>
      </c>
      <c r="E703" t="s">
        <v>23</v>
      </c>
      <c r="F703" t="s">
        <v>24</v>
      </c>
      <c r="G703">
        <v>48</v>
      </c>
      <c r="N703" s="2" t="s">
        <v>25</v>
      </c>
      <c r="P703" t="s">
        <v>26</v>
      </c>
      <c r="Q703" t="s">
        <v>30</v>
      </c>
      <c r="R703" t="s">
        <v>28</v>
      </c>
      <c r="S703" t="s">
        <v>29</v>
      </c>
      <c r="T703">
        <v>33</v>
      </c>
    </row>
    <row r="704" spans="1:20" x14ac:dyDescent="0.45">
      <c r="A704" t="s">
        <v>21</v>
      </c>
      <c r="B704">
        <v>2021</v>
      </c>
      <c r="C704" t="s">
        <v>57</v>
      </c>
      <c r="D704" s="1">
        <v>44493</v>
      </c>
      <c r="E704" t="s">
        <v>23</v>
      </c>
      <c r="F704" t="s">
        <v>24</v>
      </c>
      <c r="G704">
        <v>48</v>
      </c>
      <c r="N704" s="2" t="s">
        <v>25</v>
      </c>
      <c r="P704" t="s">
        <v>26</v>
      </c>
      <c r="Q704" t="s">
        <v>31</v>
      </c>
      <c r="R704" t="s">
        <v>28</v>
      </c>
      <c r="S704" t="s">
        <v>29</v>
      </c>
      <c r="T704">
        <v>43</v>
      </c>
    </row>
    <row r="705" spans="1:20" x14ac:dyDescent="0.45">
      <c r="A705" t="s">
        <v>21</v>
      </c>
      <c r="B705">
        <v>2021</v>
      </c>
      <c r="C705" t="s">
        <v>57</v>
      </c>
      <c r="D705" s="1">
        <v>44493</v>
      </c>
      <c r="E705" t="s">
        <v>23</v>
      </c>
      <c r="F705" t="s">
        <v>24</v>
      </c>
      <c r="G705">
        <v>48</v>
      </c>
      <c r="N705" s="2" t="s">
        <v>25</v>
      </c>
      <c r="P705" t="s">
        <v>26</v>
      </c>
      <c r="Q705" t="s">
        <v>32</v>
      </c>
      <c r="R705" t="s">
        <v>28</v>
      </c>
      <c r="S705" t="s">
        <v>29</v>
      </c>
      <c r="T705">
        <v>4</v>
      </c>
    </row>
    <row r="706" spans="1:20" x14ac:dyDescent="0.45">
      <c r="A706" t="s">
        <v>21</v>
      </c>
      <c r="B706">
        <v>2021</v>
      </c>
      <c r="C706" t="s">
        <v>57</v>
      </c>
      <c r="D706" s="1">
        <v>44493</v>
      </c>
      <c r="E706" t="s">
        <v>23</v>
      </c>
      <c r="F706" t="s">
        <v>24</v>
      </c>
      <c r="G706">
        <v>48</v>
      </c>
      <c r="N706" s="2" t="s">
        <v>25</v>
      </c>
      <c r="P706" t="s">
        <v>26</v>
      </c>
      <c r="Q706" t="s">
        <v>33</v>
      </c>
      <c r="R706" t="s">
        <v>28</v>
      </c>
      <c r="S706" t="s">
        <v>29</v>
      </c>
      <c r="T706">
        <v>1</v>
      </c>
    </row>
    <row r="707" spans="1:20" x14ac:dyDescent="0.45">
      <c r="A707" t="s">
        <v>21</v>
      </c>
      <c r="B707">
        <v>2021</v>
      </c>
      <c r="C707" t="s">
        <v>58</v>
      </c>
      <c r="D707" s="1">
        <v>44500</v>
      </c>
      <c r="E707" t="s">
        <v>23</v>
      </c>
      <c r="F707" t="s">
        <v>24</v>
      </c>
      <c r="G707">
        <v>48</v>
      </c>
      <c r="N707" s="2" t="s">
        <v>25</v>
      </c>
      <c r="P707" t="s">
        <v>26</v>
      </c>
      <c r="Q707" t="s">
        <v>27</v>
      </c>
      <c r="R707" t="s">
        <v>28</v>
      </c>
      <c r="S707" t="s">
        <v>29</v>
      </c>
      <c r="T707">
        <v>14</v>
      </c>
    </row>
    <row r="708" spans="1:20" x14ac:dyDescent="0.45">
      <c r="A708" t="s">
        <v>21</v>
      </c>
      <c r="B708">
        <v>2021</v>
      </c>
      <c r="C708" t="s">
        <v>58</v>
      </c>
      <c r="D708" s="1">
        <v>44500</v>
      </c>
      <c r="E708" t="s">
        <v>23</v>
      </c>
      <c r="F708" t="s">
        <v>24</v>
      </c>
      <c r="G708">
        <v>48</v>
      </c>
      <c r="N708" s="2" t="s">
        <v>25</v>
      </c>
      <c r="P708" t="s">
        <v>26</v>
      </c>
      <c r="Q708" t="s">
        <v>30</v>
      </c>
      <c r="R708" t="s">
        <v>28</v>
      </c>
      <c r="S708" t="s">
        <v>29</v>
      </c>
      <c r="T708">
        <v>38</v>
      </c>
    </row>
    <row r="709" spans="1:20" x14ac:dyDescent="0.45">
      <c r="A709" t="s">
        <v>21</v>
      </c>
      <c r="B709">
        <v>2021</v>
      </c>
      <c r="C709" t="s">
        <v>58</v>
      </c>
      <c r="D709" s="1">
        <v>44500</v>
      </c>
      <c r="E709" t="s">
        <v>23</v>
      </c>
      <c r="F709" t="s">
        <v>24</v>
      </c>
      <c r="G709">
        <v>48</v>
      </c>
      <c r="N709" s="2" t="s">
        <v>25</v>
      </c>
      <c r="P709" t="s">
        <v>26</v>
      </c>
      <c r="Q709" t="s">
        <v>31</v>
      </c>
      <c r="R709" t="s">
        <v>28</v>
      </c>
      <c r="S709" t="s">
        <v>29</v>
      </c>
      <c r="T709">
        <v>44</v>
      </c>
    </row>
    <row r="710" spans="1:20" x14ac:dyDescent="0.45">
      <c r="A710" t="s">
        <v>21</v>
      </c>
      <c r="B710">
        <v>2021</v>
      </c>
      <c r="C710" t="s">
        <v>58</v>
      </c>
      <c r="D710" s="1">
        <v>44500</v>
      </c>
      <c r="E710" t="s">
        <v>23</v>
      </c>
      <c r="F710" t="s">
        <v>24</v>
      </c>
      <c r="G710">
        <v>48</v>
      </c>
      <c r="N710" s="2" t="s">
        <v>25</v>
      </c>
      <c r="P710" t="s">
        <v>26</v>
      </c>
      <c r="Q710" t="s">
        <v>32</v>
      </c>
      <c r="R710" t="s">
        <v>28</v>
      </c>
      <c r="S710" t="s">
        <v>29</v>
      </c>
      <c r="T710">
        <v>4</v>
      </c>
    </row>
    <row r="711" spans="1:20" x14ac:dyDescent="0.45">
      <c r="A711" t="s">
        <v>21</v>
      </c>
      <c r="B711">
        <v>2021</v>
      </c>
      <c r="C711" t="s">
        <v>58</v>
      </c>
      <c r="D711" s="1">
        <v>44500</v>
      </c>
      <c r="E711" t="s">
        <v>23</v>
      </c>
      <c r="F711" t="s">
        <v>24</v>
      </c>
      <c r="G711">
        <v>48</v>
      </c>
      <c r="N711" s="2" t="s">
        <v>25</v>
      </c>
      <c r="P711" t="s">
        <v>26</v>
      </c>
      <c r="Q711" t="s">
        <v>33</v>
      </c>
      <c r="R711" t="s">
        <v>28</v>
      </c>
      <c r="S711" t="s">
        <v>29</v>
      </c>
      <c r="T711">
        <v>0</v>
      </c>
    </row>
    <row r="712" spans="1:20" x14ac:dyDescent="0.45">
      <c r="A712" t="s">
        <v>21</v>
      </c>
      <c r="B712">
        <v>2021</v>
      </c>
      <c r="C712" t="s">
        <v>59</v>
      </c>
      <c r="D712" s="1">
        <v>44507</v>
      </c>
      <c r="E712" t="s">
        <v>23</v>
      </c>
      <c r="F712" t="s">
        <v>24</v>
      </c>
      <c r="G712">
        <v>48</v>
      </c>
      <c r="N712" s="2" t="s">
        <v>25</v>
      </c>
      <c r="P712" t="s">
        <v>26</v>
      </c>
      <c r="Q712" t="s">
        <v>27</v>
      </c>
      <c r="R712" t="s">
        <v>28</v>
      </c>
      <c r="S712" t="s">
        <v>29</v>
      </c>
      <c r="T712">
        <v>15</v>
      </c>
    </row>
    <row r="713" spans="1:20" x14ac:dyDescent="0.45">
      <c r="A713" t="s">
        <v>21</v>
      </c>
      <c r="B713">
        <v>2021</v>
      </c>
      <c r="C713" t="s">
        <v>59</v>
      </c>
      <c r="D713" s="1">
        <v>44507</v>
      </c>
      <c r="E713" t="s">
        <v>23</v>
      </c>
      <c r="F713" t="s">
        <v>24</v>
      </c>
      <c r="G713">
        <v>48</v>
      </c>
      <c r="N713" s="2" t="s">
        <v>25</v>
      </c>
      <c r="P713" t="s">
        <v>26</v>
      </c>
      <c r="Q713" t="s">
        <v>30</v>
      </c>
      <c r="R713" t="s">
        <v>28</v>
      </c>
      <c r="S713" t="s">
        <v>29</v>
      </c>
      <c r="T713">
        <v>37</v>
      </c>
    </row>
    <row r="714" spans="1:20" x14ac:dyDescent="0.45">
      <c r="A714" t="s">
        <v>21</v>
      </c>
      <c r="B714">
        <v>2021</v>
      </c>
      <c r="C714" t="s">
        <v>59</v>
      </c>
      <c r="D714" s="1">
        <v>44507</v>
      </c>
      <c r="E714" t="s">
        <v>23</v>
      </c>
      <c r="F714" t="s">
        <v>24</v>
      </c>
      <c r="G714">
        <v>48</v>
      </c>
      <c r="N714" s="2" t="s">
        <v>25</v>
      </c>
      <c r="P714" t="s">
        <v>26</v>
      </c>
      <c r="Q714" t="s">
        <v>31</v>
      </c>
      <c r="R714" t="s">
        <v>28</v>
      </c>
      <c r="S714" t="s">
        <v>29</v>
      </c>
      <c r="T714">
        <v>43</v>
      </c>
    </row>
    <row r="715" spans="1:20" x14ac:dyDescent="0.45">
      <c r="A715" t="s">
        <v>21</v>
      </c>
      <c r="B715">
        <v>2021</v>
      </c>
      <c r="C715" t="s">
        <v>59</v>
      </c>
      <c r="D715" s="1">
        <v>44507</v>
      </c>
      <c r="E715" t="s">
        <v>23</v>
      </c>
      <c r="F715" t="s">
        <v>24</v>
      </c>
      <c r="G715">
        <v>48</v>
      </c>
      <c r="N715" s="2" t="s">
        <v>25</v>
      </c>
      <c r="P715" t="s">
        <v>26</v>
      </c>
      <c r="Q715" t="s">
        <v>32</v>
      </c>
      <c r="R715" t="s">
        <v>28</v>
      </c>
      <c r="S715" t="s">
        <v>29</v>
      </c>
      <c r="T715">
        <v>4</v>
      </c>
    </row>
    <row r="716" spans="1:20" x14ac:dyDescent="0.45">
      <c r="A716" t="s">
        <v>21</v>
      </c>
      <c r="B716">
        <v>2021</v>
      </c>
      <c r="C716" t="s">
        <v>59</v>
      </c>
      <c r="D716" s="1">
        <v>44507</v>
      </c>
      <c r="E716" t="s">
        <v>23</v>
      </c>
      <c r="F716" t="s">
        <v>24</v>
      </c>
      <c r="G716">
        <v>48</v>
      </c>
      <c r="N716" s="2" t="s">
        <v>25</v>
      </c>
      <c r="P716" t="s">
        <v>26</v>
      </c>
      <c r="Q716" t="s">
        <v>33</v>
      </c>
      <c r="R716" t="s">
        <v>28</v>
      </c>
      <c r="S716" t="s">
        <v>29</v>
      </c>
      <c r="T716">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13B0C-4C0F-45E2-BB09-16ECEAB00237}">
  <dimension ref="B1:AF16"/>
  <sheetViews>
    <sheetView showGridLines="0" topLeftCell="M6" workbookViewId="0">
      <selection activeCell="AC25" sqref="AC25"/>
    </sheetView>
  </sheetViews>
  <sheetFormatPr defaultRowHeight="14.25" x14ac:dyDescent="0.45"/>
  <sheetData>
    <row r="1" spans="2:32" x14ac:dyDescent="0.45">
      <c r="B1" t="s">
        <v>27</v>
      </c>
    </row>
    <row r="2" spans="2:32" x14ac:dyDescent="0.45">
      <c r="B2" t="s">
        <v>31</v>
      </c>
    </row>
    <row r="4" spans="2:32" x14ac:dyDescent="0.45">
      <c r="D4" t="s">
        <v>22</v>
      </c>
      <c r="E4" t="s">
        <v>34</v>
      </c>
      <c r="F4" t="s">
        <v>35</v>
      </c>
      <c r="G4" t="s">
        <v>36</v>
      </c>
      <c r="H4" t="s">
        <v>37</v>
      </c>
      <c r="I4" t="s">
        <v>38</v>
      </c>
      <c r="J4" t="s">
        <v>39</v>
      </c>
      <c r="K4" t="s">
        <v>40</v>
      </c>
      <c r="L4" t="s">
        <v>41</v>
      </c>
      <c r="M4" t="s">
        <v>42</v>
      </c>
      <c r="N4" t="s">
        <v>43</v>
      </c>
      <c r="O4" t="s">
        <v>44</v>
      </c>
      <c r="P4" t="s">
        <v>45</v>
      </c>
      <c r="Q4" t="s">
        <v>46</v>
      </c>
      <c r="R4" t="s">
        <v>47</v>
      </c>
      <c r="S4" t="s">
        <v>48</v>
      </c>
      <c r="T4" t="s">
        <v>49</v>
      </c>
      <c r="U4" t="s">
        <v>50</v>
      </c>
      <c r="V4" t="s">
        <v>51</v>
      </c>
      <c r="W4" t="s">
        <v>52</v>
      </c>
      <c r="X4" t="s">
        <v>53</v>
      </c>
      <c r="Y4" t="s">
        <v>54</v>
      </c>
      <c r="Z4" t="s">
        <v>55</v>
      </c>
      <c r="AA4" t="s">
        <v>56</v>
      </c>
      <c r="AB4" t="s">
        <v>57</v>
      </c>
      <c r="AC4" t="s">
        <v>58</v>
      </c>
      <c r="AD4" t="s">
        <v>59</v>
      </c>
      <c r="AE4" t="s">
        <v>60</v>
      </c>
      <c r="AF4" t="s">
        <v>61</v>
      </c>
    </row>
    <row r="5" spans="2:32" x14ac:dyDescent="0.45">
      <c r="C5" s="3">
        <v>2021</v>
      </c>
      <c r="D5">
        <f>SUMIFS(data!T2:T716,data!$B$2:$B$716,diagram!$C5,data!$C$2:$C$716,diagram!D$4,data!$Q$2:$Q$716,$B$1)+SUMIFS(data!$T$2:$T$716,data!$B$2:$B$716,diagram!$C5,data!$C$2:$C$716,diagram!D$4,data!$Q$2:$Q$716,$B$2)</f>
        <v>28</v>
      </c>
      <c r="E5">
        <f>SUMIFS(data!U2:U716,data!$B$2:$B$716,diagram!$C5,data!$C$2:$C$716,diagram!E$4,data!$Q$2:$Q$716,$B$1)+SUMIFS(data!$T$2:$T$716,data!$B$2:$B$716,diagram!$C5,data!$C$2:$C$716,diagram!E$4,data!$Q$2:$Q$716,$B$2)</f>
        <v>28</v>
      </c>
      <c r="F5">
        <f ca="1">SUMIFS(data!V2:V716,data!$B$2:$B$716,diagram!$C5,data!$C$2:$C$716,diagram!F$4,data!$Q$2:$Q$716,$B$1)+SUMIFS(data!$T$2:$T$716,data!$B$2:$B$716,diagram!$C5,data!$C$2:$C$716,diagram!F$4,data!$Q$2:$Q$716,$B$2)</f>
        <v>28</v>
      </c>
      <c r="G5">
        <f ca="1">SUMIFS(data!W2:W716,data!$B$2:$B$716,diagram!$C5,data!$C$2:$C$716,diagram!G$4,data!$Q$2:$Q$716,$B$1)+SUMIFS(data!$T$2:$T$716,data!$B$2:$B$716,diagram!$C5,data!$C$2:$C$716,diagram!G$4,data!$Q$2:$Q$716,$B$2)</f>
        <v>31</v>
      </c>
      <c r="H5">
        <f ca="1">SUMIFS(data!X2:X716,data!$B$2:$B$716,diagram!$C5,data!$C$2:$C$716,diagram!H$4,data!$Q$2:$Q$716,$B$1)+SUMIFS(data!$T$2:$T$716,data!$B$2:$B$716,diagram!$C5,data!$C$2:$C$716,diagram!H$4,data!$Q$2:$Q$716,$B$2)</f>
        <v>31</v>
      </c>
      <c r="I5">
        <f ca="1">SUMIFS(data!Y2:Y716,data!$B$2:$B$716,diagram!$C5,data!$C$2:$C$716,diagram!I$4,data!$Q$2:$Q$716,$B$1)+SUMIFS(data!$T$2:$T$716,data!$B$2:$B$716,diagram!$C5,data!$C$2:$C$716,diagram!I$4,data!$Q$2:$Q$716,$B$2)</f>
        <v>40</v>
      </c>
      <c r="J5">
        <f ca="1">SUMIFS(data!Z2:Z716,data!$B$2:$B$716,diagram!$C5,data!$C$2:$C$716,diagram!J$4,data!$Q$2:$Q$716,$B$1)+SUMIFS(data!$T$2:$T$716,data!$B$2:$B$716,diagram!$C5,data!$C$2:$C$716,diagram!J$4,data!$Q$2:$Q$716,$B$2)</f>
        <v>42</v>
      </c>
      <c r="K5">
        <f ca="1">SUMIFS(data!AA2:AA716,data!$B$2:$B$716,diagram!$C5,data!$C$2:$C$716,diagram!K$4,data!$Q$2:$Q$716,$B$1)+SUMIFS(data!$T$2:$T$716,data!$B$2:$B$716,diagram!$C5,data!$C$2:$C$716,diagram!K$4,data!$Q$2:$Q$716,$B$2)</f>
        <v>43</v>
      </c>
      <c r="L5">
        <f ca="1">SUMIFS(data!AB2:AB716,data!$B$2:$B$716,diagram!$C5,data!$C$2:$C$716,diagram!L$4,data!$Q$2:$Q$716,$B$1)+SUMIFS(data!$T$2:$T$716,data!$B$2:$B$716,diagram!$C5,data!$C$2:$C$716,diagram!L$4,data!$Q$2:$Q$716,$B$2)</f>
        <v>42</v>
      </c>
      <c r="M5">
        <f ca="1">SUMIFS(data!AC2:AC716,data!$B$2:$B$716,diagram!$C5,data!$C$2:$C$716,diagram!M$4,data!$Q$2:$Q$716,$B$1)+SUMIFS(data!$T$2:$T$716,data!$B$2:$B$716,diagram!$C5,data!$C$2:$C$716,diagram!M$4,data!$Q$2:$Q$716,$B$2)</f>
        <v>45</v>
      </c>
      <c r="N5">
        <f ca="1">SUMIFS(data!AD2:AD716,data!$B$2:$B$716,diagram!$C5,data!$C$2:$C$716,diagram!N$4,data!$Q$2:$Q$716,$B$1)+SUMIFS(data!$T$2:$T$716,data!$B$2:$B$716,diagram!$C5,data!$C$2:$C$716,diagram!N$4,data!$Q$2:$Q$716,$B$2)</f>
        <v>48</v>
      </c>
      <c r="O5">
        <f ca="1">SUMIFS(data!AE2:AE716,data!$B$2:$B$716,diagram!$C5,data!$C$2:$C$716,diagram!O$4,data!$Q$2:$Q$716,$B$1)+SUMIFS(data!$T$2:$T$716,data!$B$2:$B$716,diagram!$C5,data!$C$2:$C$716,diagram!O$4,data!$Q$2:$Q$716,$B$2)</f>
        <v>50</v>
      </c>
      <c r="P5">
        <f ca="1">SUMIFS(data!AF2:AF716,data!$B$2:$B$716,diagram!$C5,data!$C$2:$C$716,diagram!P$4,data!$Q$2:$Q$716,$B$1)+SUMIFS(data!$T$2:$T$716,data!$B$2:$B$716,diagram!$C5,data!$C$2:$C$716,diagram!P$4,data!$Q$2:$Q$716,$B$2)</f>
        <v>42</v>
      </c>
      <c r="Q5">
        <f ca="1">SUMIFS(data!AG2:AG716,data!$B$2:$B$716,diagram!$C5,data!$C$2:$C$716,diagram!Q$4,data!$Q$2:$Q$716,$B$1)+SUMIFS(data!$T$2:$T$716,data!$B$2:$B$716,diagram!$C5,data!$C$2:$C$716,diagram!Q$4,data!$Q$2:$Q$716,$B$2)</f>
        <v>43</v>
      </c>
      <c r="R5">
        <f ca="1">SUMIFS(data!AH2:AH716,data!$B$2:$B$716,diagram!$C5,data!$C$2:$C$716,diagram!R$4,data!$Q$2:$Q$716,$B$1)+SUMIFS(data!$T$2:$T$716,data!$B$2:$B$716,diagram!$C5,data!$C$2:$C$716,diagram!R$4,data!$Q$2:$Q$716,$B$2)</f>
        <v>44</v>
      </c>
      <c r="S5">
        <f ca="1">SUMIFS(data!AI2:AI716,data!$B$2:$B$716,diagram!$C5,data!$C$2:$C$716,diagram!S$4,data!$Q$2:$Q$716,$B$1)+SUMIFS(data!$T$2:$T$716,data!$B$2:$B$716,diagram!$C5,data!$C$2:$C$716,diagram!S$4,data!$Q$2:$Q$716,$B$2)</f>
        <v>53</v>
      </c>
      <c r="T5">
        <f ca="1">SUMIFS(data!AJ2:AJ716,data!$B$2:$B$716,diagram!$C5,data!$C$2:$C$716,diagram!T$4,data!$Q$2:$Q$716,$B$1)+SUMIFS(data!$T$2:$T$716,data!$B$2:$B$716,diagram!$C5,data!$C$2:$C$716,diagram!T$4,data!$Q$2:$Q$716,$B$2)</f>
        <v>0</v>
      </c>
      <c r="U5">
        <f ca="1">SUMIFS(data!AK2:AK716,data!$B$2:$B$716,diagram!$C5,data!$C$2:$C$716,diagram!U$4,data!$Q$2:$Q$716,$B$1)+SUMIFS(data!$T$2:$T$716,data!$B$2:$B$716,diagram!$C5,data!$C$2:$C$716,diagram!U$4,data!$Q$2:$Q$716,$B$2)</f>
        <v>17</v>
      </c>
      <c r="V5">
        <f ca="1">SUMIFS(data!AL2:AL716,data!$B$2:$B$716,diagram!$C5,data!$C$2:$C$716,diagram!V$4,data!$Q$2:$Q$716,$B$1)+SUMIFS(data!$T$2:$T$716,data!$B$2:$B$716,diagram!$C5,data!$C$2:$C$716,diagram!V$4,data!$Q$2:$Q$716,$B$2)</f>
        <v>26</v>
      </c>
      <c r="W5">
        <f ca="1">SUMIFS(data!AM2:AM716,data!$B$2:$B$716,diagram!$C5,data!$C$2:$C$716,diagram!W$4,data!$Q$2:$Q$716,$B$1)+SUMIFS(data!$T$2:$T$716,data!$B$2:$B$716,diagram!$C5,data!$C$2:$C$716,diagram!W$4,data!$Q$2:$Q$716,$B$2)</f>
        <v>48</v>
      </c>
      <c r="X5">
        <f ca="1">SUMIFS(data!AN2:AN716,data!$B$2:$B$716,diagram!$C5,data!$C$2:$C$716,diagram!X$4,data!$Q$2:$Q$716,$B$1)+SUMIFS(data!$T$2:$T$716,data!$B$2:$B$716,diagram!$C5,data!$C$2:$C$716,diagram!X$4,data!$Q$2:$Q$716,$B$2)</f>
        <v>0</v>
      </c>
      <c r="Y5">
        <f ca="1">SUMIFS(data!AO2:AO716,data!$B$2:$B$716,diagram!$C5,data!$C$2:$C$716,diagram!Y$4,data!$Q$2:$Q$716,$B$1)+SUMIFS(data!$T$2:$T$716,data!$B$2:$B$716,diagram!$C5,data!$C$2:$C$716,diagram!Y$4,data!$Q$2:$Q$716,$B$2)</f>
        <v>0</v>
      </c>
      <c r="Z5">
        <f ca="1">SUMIFS(data!AP2:AP716,data!$B$2:$B$716,diagram!$C5,data!$C$2:$C$716,diagram!Z$4,data!$Q$2:$Q$716,$B$1)+SUMIFS(data!$T$2:$T$716,data!$B$2:$B$716,diagram!$C5,data!$C$2:$C$716,diagram!Z$4,data!$Q$2:$Q$716,$B$2)</f>
        <v>52</v>
      </c>
      <c r="AA5">
        <f ca="1">SUMIFS(data!AQ2:AQ716,data!$B$2:$B$716,diagram!$C5,data!$C$2:$C$716,diagram!AA$4,data!$Q$2:$Q$716,$B$1)+SUMIFS(data!$T$2:$T$716,data!$B$2:$B$716,diagram!$C5,data!$C$2:$C$716,diagram!AA$4,data!$Q$2:$Q$716,$B$2)</f>
        <v>50</v>
      </c>
      <c r="AB5">
        <f ca="1">SUMIFS(data!AR2:AR716,data!$B$2:$B$716,diagram!$C5,data!$C$2:$C$716,diagram!AB$4,data!$Q$2:$Q$716,$B$1)+SUMIFS(data!$T$2:$T$716,data!$B$2:$B$716,diagram!$C5,data!$C$2:$C$716,diagram!AB$4,data!$Q$2:$Q$716,$B$2)</f>
        <v>43</v>
      </c>
      <c r="AC5">
        <f ca="1">SUMIFS(data!AS2:AS716,data!$B$2:$B$716,diagram!$C5,data!$C$2:$C$716,diagram!AC$4,data!$Q$2:$Q$716,$B$1)+SUMIFS(data!$T$2:$T$716,data!$B$2:$B$716,diagram!$C5,data!$C$2:$C$716,diagram!AC$4,data!$Q$2:$Q$716,$B$2)</f>
        <v>44</v>
      </c>
      <c r="AD5">
        <f ca="1">SUMIFS(data!AT2:AT716,data!$B$2:$B$716,diagram!$C5,data!$C$2:$C$716,diagram!AD$4,data!$Q$2:$Q$716,$B$1)+SUMIFS(data!$T$2:$T$716,data!$B$2:$B$716,diagram!$C5,data!$C$2:$C$716,diagram!AD$4,data!$Q$2:$Q$716,$B$2)</f>
        <v>43</v>
      </c>
      <c r="AE5">
        <f ca="1">SUMIFS(data!AU2:AU716,data!$B$2:$B$716,diagram!$C5,data!$C$2:$C$716,diagram!AE$4,data!$Q$2:$Q$716,$B$1)+SUMIFS(data!$T$2:$T$716,data!$B$2:$B$716,diagram!$C5,data!$C$2:$C$716,diagram!AE$4,data!$Q$2:$Q$716,$B$2)</f>
        <v>0</v>
      </c>
      <c r="AF5">
        <f ca="1">SUMIFS(data!AV2:AV716,data!$B$2:$B$716,diagram!$C5,data!$C$2:$C$716,diagram!AF$4,data!$Q$2:$Q$716,$B$1)+SUMIFS(data!$T$2:$T$716,data!$B$2:$B$716,diagram!$C5,data!$C$2:$C$716,diagram!AF$4,data!$Q$2:$Q$716,$B$2)</f>
        <v>0</v>
      </c>
    </row>
    <row r="6" spans="2:32" x14ac:dyDescent="0.45">
      <c r="C6" s="3">
        <v>2022</v>
      </c>
      <c r="D6">
        <f>SUMIFS(data!T3:T717,data!$B$2:$B$716,diagram!$C6,data!$C$2:$C$716,diagram!D$4,data!$Q$2:$Q$716,$B$1)+SUMIFS(data!$T$2:$T$716,data!$B$2:$B$716,diagram!$C6,data!$C$2:$C$716,diagram!D$4,data!$Q$2:$Q$716,$B$2)</f>
        <v>70</v>
      </c>
      <c r="E6">
        <f>SUMIFS(data!U3:U717,data!$B$2:$B$716,diagram!$C6,data!$C$2:$C$716,diagram!E$4,data!$Q$2:$Q$716,$B$1)+SUMIFS(data!$T$2:$T$716,data!$B$2:$B$716,diagram!$C6,data!$C$2:$C$716,diagram!E$4,data!$Q$2:$Q$716,$B$2)</f>
        <v>18</v>
      </c>
      <c r="F6">
        <f ca="1">SUMIFS(data!V3:V717,data!$B$2:$B$716,diagram!$C6,data!$C$2:$C$716,diagram!F$4,data!$Q$2:$Q$716,$B$1)+SUMIFS(data!$T$2:$T$716,data!$B$2:$B$716,diagram!$C6,data!$C$2:$C$716,diagram!F$4,data!$Q$2:$Q$716,$B$2)</f>
        <v>17</v>
      </c>
      <c r="G6">
        <f ca="1">SUMIFS(data!W3:W717,data!$B$2:$B$716,diagram!$C6,data!$C$2:$C$716,diagram!G$4,data!$Q$2:$Q$716,$B$1)+SUMIFS(data!$T$2:$T$716,data!$B$2:$B$716,diagram!$C6,data!$C$2:$C$716,diagram!G$4,data!$Q$2:$Q$716,$B$2)</f>
        <v>17</v>
      </c>
      <c r="H6">
        <f ca="1">SUMIFS(data!X3:X717,data!$B$2:$B$716,diagram!$C6,data!$C$2:$C$716,diagram!H$4,data!$Q$2:$Q$716,$B$1)+SUMIFS(data!$T$2:$T$716,data!$B$2:$B$716,diagram!$C6,data!$C$2:$C$716,diagram!H$4,data!$Q$2:$Q$716,$B$2)</f>
        <v>19</v>
      </c>
      <c r="I6">
        <f ca="1">SUMIFS(data!Y3:Y717,data!$B$2:$B$716,diagram!$C6,data!$C$2:$C$716,diagram!I$4,data!$Q$2:$Q$716,$B$1)+SUMIFS(data!$T$2:$T$716,data!$B$2:$B$716,diagram!$C6,data!$C$2:$C$716,diagram!I$4,data!$Q$2:$Q$716,$B$2)</f>
        <v>20</v>
      </c>
      <c r="J6">
        <f ca="1">SUMIFS(data!Z3:Z717,data!$B$2:$B$716,diagram!$C6,data!$C$2:$C$716,diagram!J$4,data!$Q$2:$Q$716,$B$1)+SUMIFS(data!$T$2:$T$716,data!$B$2:$B$716,diagram!$C6,data!$C$2:$C$716,diagram!J$4,data!$Q$2:$Q$716,$B$2)</f>
        <v>15</v>
      </c>
      <c r="K6">
        <f ca="1">SUMIFS(data!AA3:AA717,data!$B$2:$B$716,diagram!$C6,data!$C$2:$C$716,diagram!K$4,data!$Q$2:$Q$716,$B$1)+SUMIFS(data!$T$2:$T$716,data!$B$2:$B$716,diagram!$C6,data!$C$2:$C$716,diagram!K$4,data!$Q$2:$Q$716,$B$2)</f>
        <v>21</v>
      </c>
      <c r="L6">
        <f ca="1">SUMIFS(data!AB3:AB717,data!$B$2:$B$716,diagram!$C6,data!$C$2:$C$716,diagram!L$4,data!$Q$2:$Q$716,$B$1)+SUMIFS(data!$T$2:$T$716,data!$B$2:$B$716,diagram!$C6,data!$C$2:$C$716,diagram!L$4,data!$Q$2:$Q$716,$B$2)</f>
        <v>14</v>
      </c>
      <c r="M6">
        <f ca="1">SUMIFS(data!AC3:AC717,data!$B$2:$B$716,diagram!$C6,data!$C$2:$C$716,diagram!M$4,data!$Q$2:$Q$716,$B$1)+SUMIFS(data!$T$2:$T$716,data!$B$2:$B$716,diagram!$C6,data!$C$2:$C$716,diagram!M$4,data!$Q$2:$Q$716,$B$2)</f>
        <v>13</v>
      </c>
      <c r="N6">
        <f ca="1">SUMIFS(data!AD3:AD717,data!$B$2:$B$716,diagram!$C6,data!$C$2:$C$716,diagram!N$4,data!$Q$2:$Q$716,$B$1)+SUMIFS(data!$T$2:$T$716,data!$B$2:$B$716,diagram!$C6,data!$C$2:$C$716,diagram!N$4,data!$Q$2:$Q$716,$B$2)</f>
        <v>10</v>
      </c>
      <c r="O6">
        <f ca="1">SUMIFS(data!AE3:AE717,data!$B$2:$B$716,diagram!$C6,data!$C$2:$C$716,diagram!O$4,data!$Q$2:$Q$716,$B$1)+SUMIFS(data!$T$2:$T$716,data!$B$2:$B$716,diagram!$C6,data!$C$2:$C$716,diagram!O$4,data!$Q$2:$Q$716,$B$2)</f>
        <v>14</v>
      </c>
      <c r="P6">
        <f ca="1">SUMIFS(data!AF3:AF717,data!$B$2:$B$716,diagram!$C6,data!$C$2:$C$716,diagram!P$4,data!$Q$2:$Q$716,$B$1)+SUMIFS(data!$T$2:$T$716,data!$B$2:$B$716,diagram!$C6,data!$C$2:$C$716,diagram!P$4,data!$Q$2:$Q$716,$B$2)</f>
        <v>15</v>
      </c>
      <c r="Q6">
        <f ca="1">SUMIFS(data!AG3:AG717,data!$B$2:$B$716,diagram!$C6,data!$C$2:$C$716,diagram!Q$4,data!$Q$2:$Q$716,$B$1)+SUMIFS(data!$T$2:$T$716,data!$B$2:$B$716,diagram!$C6,data!$C$2:$C$716,diagram!Q$4,data!$Q$2:$Q$716,$B$2)</f>
        <v>14</v>
      </c>
      <c r="R6">
        <f ca="1">SUMIFS(data!AH3:AH717,data!$B$2:$B$716,diagram!$C6,data!$C$2:$C$716,diagram!R$4,data!$Q$2:$Q$716,$B$1)+SUMIFS(data!$T$2:$T$716,data!$B$2:$B$716,diagram!$C6,data!$C$2:$C$716,diagram!R$4,data!$Q$2:$Q$716,$B$2)</f>
        <v>14</v>
      </c>
      <c r="S6">
        <f ca="1">SUMIFS(data!AI3:AI717,data!$B$2:$B$716,diagram!$C6,data!$C$2:$C$716,diagram!S$4,data!$Q$2:$Q$716,$B$1)+SUMIFS(data!$T$2:$T$716,data!$B$2:$B$716,diagram!$C6,data!$C$2:$C$716,diagram!S$4,data!$Q$2:$Q$716,$B$2)</f>
        <v>12</v>
      </c>
      <c r="T6">
        <f ca="1">SUMIFS(data!AJ3:AJ717,data!$B$2:$B$716,diagram!$C6,data!$C$2:$C$716,diagram!T$4,data!$Q$2:$Q$716,$B$1)+SUMIFS(data!$T$2:$T$716,data!$B$2:$B$716,diagram!$C6,data!$C$2:$C$716,diagram!T$4,data!$Q$2:$Q$716,$B$2)</f>
        <v>0</v>
      </c>
      <c r="U6">
        <f ca="1">SUMIFS(data!AK3:AK717,data!$B$2:$B$716,diagram!$C6,data!$C$2:$C$716,diagram!U$4,data!$Q$2:$Q$716,$B$1)+SUMIFS(data!$T$2:$T$716,data!$B$2:$B$716,diagram!$C6,data!$C$2:$C$716,diagram!U$4,data!$Q$2:$Q$716,$B$2)</f>
        <v>19</v>
      </c>
      <c r="V6">
        <f ca="1">SUMIFS(data!AL3:AL717,data!$B$2:$B$716,diagram!$C6,data!$C$2:$C$716,diagram!V$4,data!$Q$2:$Q$716,$B$1)+SUMIFS(data!$T$2:$T$716,data!$B$2:$B$716,diagram!$C6,data!$C$2:$C$716,diagram!V$4,data!$Q$2:$Q$716,$B$2)</f>
        <v>26</v>
      </c>
      <c r="W6">
        <f ca="1">SUMIFS(data!AM3:AM717,data!$B$2:$B$716,diagram!$C6,data!$C$2:$C$716,diagram!W$4,data!$Q$2:$Q$716,$B$1)+SUMIFS(data!$T$2:$T$716,data!$B$2:$B$716,diagram!$C6,data!$C$2:$C$716,diagram!W$4,data!$Q$2:$Q$716,$B$2)</f>
        <v>9</v>
      </c>
      <c r="X6">
        <f ca="1">SUMIFS(data!AN3:AN717,data!$B$2:$B$716,diagram!$C6,data!$C$2:$C$716,diagram!X$4,data!$Q$2:$Q$716,$B$1)+SUMIFS(data!$T$2:$T$716,data!$B$2:$B$716,diagram!$C6,data!$C$2:$C$716,diagram!X$4,data!$Q$2:$Q$716,$B$2)</f>
        <v>10</v>
      </c>
      <c r="Y6">
        <f ca="1">SUMIFS(data!AO3:AO717,data!$B$2:$B$716,diagram!$C6,data!$C$2:$C$716,diagram!Y$4,data!$Q$2:$Q$716,$B$1)+SUMIFS(data!$T$2:$T$716,data!$B$2:$B$716,diagram!$C6,data!$C$2:$C$716,diagram!Y$4,data!$Q$2:$Q$716,$B$2)</f>
        <v>10</v>
      </c>
      <c r="Z6">
        <f ca="1">SUMIFS(data!AP3:AP717,data!$B$2:$B$716,diagram!$C6,data!$C$2:$C$716,diagram!Z$4,data!$Q$2:$Q$716,$B$1)+SUMIFS(data!$T$2:$T$716,data!$B$2:$B$716,diagram!$C6,data!$C$2:$C$716,diagram!Z$4,data!$Q$2:$Q$716,$B$2)</f>
        <v>8</v>
      </c>
      <c r="AA6">
        <f ca="1">SUMIFS(data!AQ3:AQ717,data!$B$2:$B$716,diagram!$C6,data!$C$2:$C$716,diagram!AA$4,data!$Q$2:$Q$716,$B$1)+SUMIFS(data!$T$2:$T$716,data!$B$2:$B$716,diagram!$C6,data!$C$2:$C$716,diagram!AA$4,data!$Q$2:$Q$716,$B$2)</f>
        <v>8</v>
      </c>
      <c r="AB6">
        <f ca="1">SUMIFS(data!AR3:AR717,data!$B$2:$B$716,diagram!$C6,data!$C$2:$C$716,diagram!AB$4,data!$Q$2:$Q$716,$B$1)+SUMIFS(data!$T$2:$T$716,data!$B$2:$B$716,diagram!$C6,data!$C$2:$C$716,diagram!AB$4,data!$Q$2:$Q$716,$B$2)</f>
        <v>8</v>
      </c>
      <c r="AC6">
        <f ca="1">SUMIFS(data!AS3:AS717,data!$B$2:$B$716,diagram!$C6,data!$C$2:$C$716,diagram!AC$4,data!$Q$2:$Q$716,$B$1)+SUMIFS(data!$T$2:$T$716,data!$B$2:$B$716,diagram!$C6,data!$C$2:$C$716,diagram!AC$4,data!$Q$2:$Q$716,$B$2)</f>
        <v>10</v>
      </c>
      <c r="AD6">
        <f ca="1">SUMIFS(data!AT3:AT717,data!$B$2:$B$716,diagram!$C6,data!$C$2:$C$716,diagram!AD$4,data!$Q$2:$Q$716,$B$1)+SUMIFS(data!$T$2:$T$716,data!$B$2:$B$716,diagram!$C6,data!$C$2:$C$716,diagram!AD$4,data!$Q$2:$Q$716,$B$2)</f>
        <v>10</v>
      </c>
      <c r="AE6">
        <f ca="1">SUMIFS(data!AU3:AU717,data!$B$2:$B$716,diagram!$C6,data!$C$2:$C$716,diagram!AE$4,data!$Q$2:$Q$716,$B$1)+SUMIFS(data!$T$2:$T$716,data!$B$2:$B$716,diagram!$C6,data!$C$2:$C$716,diagram!AE$4,data!$Q$2:$Q$716,$B$2)</f>
        <v>10</v>
      </c>
      <c r="AF6">
        <f ca="1">SUMIFS(data!AV3:AV717,data!$B$2:$B$716,diagram!$C6,data!$C$2:$C$716,diagram!AF$4,data!$Q$2:$Q$716,$B$1)+SUMIFS(data!$T$2:$T$716,data!$B$2:$B$716,diagram!$C6,data!$C$2:$C$716,diagram!AF$4,data!$Q$2:$Q$716,$B$2)</f>
        <v>0</v>
      </c>
    </row>
    <row r="7" spans="2:32" x14ac:dyDescent="0.45">
      <c r="C7" s="3">
        <v>2023</v>
      </c>
      <c r="D7">
        <f>SUMIFS(data!T4:T718,data!$B$2:$B$716,diagram!$C7,data!$C$2:$C$716,diagram!D$4,data!$Q$2:$Q$716,$B$1)+SUMIFS(data!$T$2:$T$716,data!$B$2:$B$716,diagram!$C7,data!$C$2:$C$716,diagram!D$4,data!$Q$2:$Q$716,$B$2)</f>
        <v>44</v>
      </c>
      <c r="E7">
        <f>SUMIFS(data!U4:U718,data!$B$2:$B$716,diagram!$C7,data!$C$2:$C$716,diagram!E$4,data!$Q$2:$Q$716,$B$1)+SUMIFS(data!$T$2:$T$716,data!$B$2:$B$716,diagram!$C7,data!$C$2:$C$716,diagram!E$4,data!$Q$2:$Q$716,$B$2)</f>
        <v>26</v>
      </c>
      <c r="F7">
        <f ca="1">SUMIFS(data!V4:V718,data!$B$2:$B$716,diagram!$C7,data!$C$2:$C$716,diagram!F$4,data!$Q$2:$Q$716,$B$1)+SUMIFS(data!$T$2:$T$716,data!$B$2:$B$716,diagram!$C7,data!$C$2:$C$716,diagram!F$4,data!$Q$2:$Q$716,$B$2)</f>
        <v>28</v>
      </c>
      <c r="G7">
        <f ca="1">SUMIFS(data!W4:W718,data!$B$2:$B$716,diagram!$C7,data!$C$2:$C$716,diagram!G$4,data!$Q$2:$Q$716,$B$1)+SUMIFS(data!$T$2:$T$716,data!$B$2:$B$716,diagram!$C7,data!$C$2:$C$716,diagram!G$4,data!$Q$2:$Q$716,$B$2)</f>
        <v>29</v>
      </c>
      <c r="H7">
        <f ca="1">SUMIFS(data!X4:X718,data!$B$2:$B$716,diagram!$C7,data!$C$2:$C$716,diagram!H$4,data!$Q$2:$Q$716,$B$1)+SUMIFS(data!$T$2:$T$716,data!$B$2:$B$716,diagram!$C7,data!$C$2:$C$716,diagram!H$4,data!$Q$2:$Q$716,$B$2)</f>
        <v>28</v>
      </c>
      <c r="I7">
        <f ca="1">SUMIFS(data!Y4:Y718,data!$B$2:$B$716,diagram!$C7,data!$C$2:$C$716,diagram!I$4,data!$Q$2:$Q$716,$B$1)+SUMIFS(data!$T$2:$T$716,data!$B$2:$B$716,diagram!$C7,data!$C$2:$C$716,diagram!I$4,data!$Q$2:$Q$716,$B$2)</f>
        <v>22</v>
      </c>
      <c r="J7">
        <f ca="1">SUMIFS(data!Z4:Z718,data!$B$2:$B$716,diagram!$C7,data!$C$2:$C$716,diagram!J$4,data!$Q$2:$Q$716,$B$1)+SUMIFS(data!$T$2:$T$716,data!$B$2:$B$716,diagram!$C7,data!$C$2:$C$716,diagram!J$4,data!$Q$2:$Q$716,$B$2)</f>
        <v>21</v>
      </c>
      <c r="K7">
        <f ca="1">SUMIFS(data!AA4:AA718,data!$B$2:$B$716,diagram!$C7,data!$C$2:$C$716,diagram!K$4,data!$Q$2:$Q$716,$B$1)+SUMIFS(data!$T$2:$T$716,data!$B$2:$B$716,diagram!$C7,data!$C$2:$C$716,diagram!K$4,data!$Q$2:$Q$716,$B$2)</f>
        <v>14</v>
      </c>
      <c r="L7">
        <f ca="1">SUMIFS(data!AB4:AB718,data!$B$2:$B$716,diagram!$C7,data!$C$2:$C$716,diagram!L$4,data!$Q$2:$Q$716,$B$1)+SUMIFS(data!$T$2:$T$716,data!$B$2:$B$716,diagram!$C7,data!$C$2:$C$716,diagram!L$4,data!$Q$2:$Q$716,$B$2)</f>
        <v>14</v>
      </c>
      <c r="M7">
        <f ca="1">SUMIFS(data!AC4:AC718,data!$B$2:$B$716,diagram!$C7,data!$C$2:$C$716,diagram!M$4,data!$Q$2:$Q$716,$B$1)+SUMIFS(data!$T$2:$T$716,data!$B$2:$B$716,diagram!$C7,data!$C$2:$C$716,diagram!M$4,data!$Q$2:$Q$716,$B$2)</f>
        <v>12</v>
      </c>
      <c r="N7">
        <f ca="1">SUMIFS(data!AD4:AD718,data!$B$2:$B$716,diagram!$C7,data!$C$2:$C$716,diagram!N$4,data!$Q$2:$Q$716,$B$1)+SUMIFS(data!$T$2:$T$716,data!$B$2:$B$716,diagram!$C7,data!$C$2:$C$716,diagram!N$4,data!$Q$2:$Q$716,$B$2)</f>
        <v>8</v>
      </c>
      <c r="O7">
        <f ca="1">SUMIFS(data!AE4:AE718,data!$B$2:$B$716,diagram!$C7,data!$C$2:$C$716,diagram!O$4,data!$Q$2:$Q$716,$B$1)+SUMIFS(data!$T$2:$T$716,data!$B$2:$B$716,diagram!$C7,data!$C$2:$C$716,diagram!O$4,data!$Q$2:$Q$716,$B$2)</f>
        <v>11</v>
      </c>
      <c r="P7">
        <f ca="1">SUMIFS(data!AF4:AF718,data!$B$2:$B$716,diagram!$C7,data!$C$2:$C$716,diagram!P$4,data!$Q$2:$Q$716,$B$1)+SUMIFS(data!$T$2:$T$716,data!$B$2:$B$716,diagram!$C7,data!$C$2:$C$716,diagram!P$4,data!$Q$2:$Q$716,$B$2)</f>
        <v>10</v>
      </c>
      <c r="Q7">
        <f ca="1">SUMIFS(data!AG4:AG718,data!$B$2:$B$716,diagram!$C7,data!$C$2:$C$716,diagram!Q$4,data!$Q$2:$Q$716,$B$1)+SUMIFS(data!$T$2:$T$716,data!$B$2:$B$716,diagram!$C7,data!$C$2:$C$716,diagram!Q$4,data!$Q$2:$Q$716,$B$2)</f>
        <v>8</v>
      </c>
      <c r="R7">
        <f ca="1">SUMIFS(data!AH4:AH718,data!$B$2:$B$716,diagram!$C7,data!$C$2:$C$716,diagram!R$4,data!$Q$2:$Q$716,$B$1)+SUMIFS(data!$T$2:$T$716,data!$B$2:$B$716,diagram!$C7,data!$C$2:$C$716,diagram!R$4,data!$Q$2:$Q$716,$B$2)</f>
        <v>9</v>
      </c>
      <c r="S7">
        <f ca="1">SUMIFS(data!AI4:AI718,data!$B$2:$B$716,diagram!$C7,data!$C$2:$C$716,diagram!S$4,data!$Q$2:$Q$716,$B$1)+SUMIFS(data!$T$2:$T$716,data!$B$2:$B$716,diagram!$C7,data!$C$2:$C$716,diagram!S$4,data!$Q$2:$Q$716,$B$2)</f>
        <v>9</v>
      </c>
      <c r="T7">
        <f ca="1">SUMIFS(data!AJ4:AJ718,data!$B$2:$B$716,diagram!$C7,data!$C$2:$C$716,diagram!T$4,data!$Q$2:$Q$716,$B$1)+SUMIFS(data!$T$2:$T$716,data!$B$2:$B$716,diagram!$C7,data!$C$2:$C$716,diagram!T$4,data!$Q$2:$Q$716,$B$2)</f>
        <v>0</v>
      </c>
      <c r="U7">
        <f ca="1">SUMIFS(data!AK4:AK718,data!$B$2:$B$716,diagram!$C7,data!$C$2:$C$716,diagram!U$4,data!$Q$2:$Q$716,$B$1)+SUMIFS(data!$T$2:$T$716,data!$B$2:$B$716,diagram!$C7,data!$C$2:$C$716,diagram!U$4,data!$Q$2:$Q$716,$B$2)</f>
        <v>24</v>
      </c>
      <c r="V7">
        <f ca="1">SUMIFS(data!AL4:AL718,data!$B$2:$B$716,diagram!$C7,data!$C$2:$C$716,diagram!V$4,data!$Q$2:$Q$716,$B$1)+SUMIFS(data!$T$2:$T$716,data!$B$2:$B$716,diagram!$C7,data!$C$2:$C$716,diagram!V$4,data!$Q$2:$Q$716,$B$2)</f>
        <v>25</v>
      </c>
      <c r="W7">
        <f ca="1">SUMIFS(data!AM4:AM718,data!$B$2:$B$716,diagram!$C7,data!$C$2:$C$716,diagram!W$4,data!$Q$2:$Q$716,$B$1)+SUMIFS(data!$T$2:$T$716,data!$B$2:$B$716,diagram!$C7,data!$C$2:$C$716,diagram!W$4,data!$Q$2:$Q$716,$B$2)</f>
        <v>10</v>
      </c>
      <c r="X7">
        <f ca="1">SUMIFS(data!AN4:AN718,data!$B$2:$B$716,diagram!$C7,data!$C$2:$C$716,diagram!X$4,data!$Q$2:$Q$716,$B$1)+SUMIFS(data!$T$2:$T$716,data!$B$2:$B$716,diagram!$C7,data!$C$2:$C$716,diagram!X$4,data!$Q$2:$Q$716,$B$2)</f>
        <v>0</v>
      </c>
      <c r="Y7">
        <f ca="1">SUMIFS(data!AO4:AO718,data!$B$2:$B$716,diagram!$C7,data!$C$2:$C$716,diagram!Y$4,data!$Q$2:$Q$716,$B$1)+SUMIFS(data!$T$2:$T$716,data!$B$2:$B$716,diagram!$C7,data!$C$2:$C$716,diagram!Y$4,data!$Q$2:$Q$716,$B$2)</f>
        <v>9</v>
      </c>
      <c r="Z7">
        <f ca="1">SUMIFS(data!AP4:AP718,data!$B$2:$B$716,diagram!$C7,data!$C$2:$C$716,diagram!Z$4,data!$Q$2:$Q$716,$B$1)+SUMIFS(data!$T$2:$T$716,data!$B$2:$B$716,diagram!$C7,data!$C$2:$C$716,diagram!Z$4,data!$Q$2:$Q$716,$B$2)</f>
        <v>13</v>
      </c>
      <c r="AA7">
        <f ca="1">SUMIFS(data!AQ4:AQ718,data!$B$2:$B$716,diagram!$C7,data!$C$2:$C$716,diagram!AA$4,data!$Q$2:$Q$716,$B$1)+SUMIFS(data!$T$2:$T$716,data!$B$2:$B$716,diagram!$C7,data!$C$2:$C$716,diagram!AA$4,data!$Q$2:$Q$716,$B$2)</f>
        <v>10</v>
      </c>
      <c r="AB7">
        <f ca="1">SUMIFS(data!AR4:AR718,data!$B$2:$B$716,diagram!$C7,data!$C$2:$C$716,diagram!AB$4,data!$Q$2:$Q$716,$B$1)+SUMIFS(data!$T$2:$T$716,data!$B$2:$B$716,diagram!$C7,data!$C$2:$C$716,diagram!AB$4,data!$Q$2:$Q$716,$B$2)</f>
        <v>9</v>
      </c>
      <c r="AC7">
        <f ca="1">SUMIFS(data!AS4:AS718,data!$B$2:$B$716,diagram!$C7,data!$C$2:$C$716,diagram!AC$4,data!$Q$2:$Q$716,$B$1)+SUMIFS(data!$T$2:$T$716,data!$B$2:$B$716,diagram!$C7,data!$C$2:$C$716,diagram!AC$4,data!$Q$2:$Q$716,$B$2)</f>
        <v>9</v>
      </c>
      <c r="AD7">
        <f ca="1">SUMIFS(data!AT4:AT718,data!$B$2:$B$716,diagram!$C7,data!$C$2:$C$716,diagram!AD$4,data!$Q$2:$Q$716,$B$1)+SUMIFS(data!$T$2:$T$716,data!$B$2:$B$716,diagram!$C7,data!$C$2:$C$716,diagram!AD$4,data!$Q$2:$Q$716,$B$2)</f>
        <v>8</v>
      </c>
      <c r="AE7">
        <f ca="1">SUMIFS(data!AU4:AU718,data!$B$2:$B$716,diagram!$C7,data!$C$2:$C$716,diagram!AE$4,data!$Q$2:$Q$716,$B$1)+SUMIFS(data!$T$2:$T$716,data!$B$2:$B$716,diagram!$C7,data!$C$2:$C$716,diagram!AE$4,data!$Q$2:$Q$716,$B$2)</f>
        <v>9</v>
      </c>
      <c r="AF7">
        <f ca="1">SUMIFS(data!AV4:AV718,data!$B$2:$B$716,diagram!$C7,data!$C$2:$C$716,diagram!AF$4,data!$Q$2:$Q$716,$B$1)+SUMIFS(data!$T$2:$T$716,data!$B$2:$B$716,diagram!$C7,data!$C$2:$C$716,diagram!AF$4,data!$Q$2:$Q$716,$B$2)</f>
        <v>11</v>
      </c>
    </row>
    <row r="8" spans="2:32" x14ac:dyDescent="0.45">
      <c r="C8" s="3">
        <v>2024</v>
      </c>
      <c r="D8">
        <f>SUMIFS(data!T5:T719,data!$B$2:$B$716,diagram!$C8,data!$C$2:$C$716,diagram!D$4,data!$Q$2:$Q$716,$B$1)+SUMIFS(data!$T$2:$T$716,data!$B$2:$B$716,diagram!$C8,data!$C$2:$C$716,diagram!D$4,data!$Q$2:$Q$716,$B$2)</f>
        <v>46</v>
      </c>
      <c r="E8">
        <f>SUMIFS(data!U5:U719,data!$B$2:$B$716,diagram!$C8,data!$C$2:$C$716,diagram!E$4,data!$Q$2:$Q$716,$B$1)+SUMIFS(data!$T$2:$T$716,data!$B$2:$B$716,diagram!$C8,data!$C$2:$C$716,diagram!E$4,data!$Q$2:$Q$716,$B$2)</f>
        <v>37</v>
      </c>
      <c r="F8">
        <f ca="1">SUMIFS(data!V5:V719,data!$B$2:$B$716,diagram!$C8,data!$C$2:$C$716,diagram!F$4,data!$Q$2:$Q$716,$B$1)+SUMIFS(data!$T$2:$T$716,data!$B$2:$B$716,diagram!$C8,data!$C$2:$C$716,diagram!F$4,data!$Q$2:$Q$716,$B$2)</f>
        <v>47</v>
      </c>
      <c r="G8">
        <f ca="1">SUMIFS(data!W5:W719,data!$B$2:$B$716,diagram!$C8,data!$C$2:$C$716,diagram!G$4,data!$Q$2:$Q$716,$B$1)+SUMIFS(data!$T$2:$T$716,data!$B$2:$B$716,diagram!$C8,data!$C$2:$C$716,diagram!G$4,data!$Q$2:$Q$716,$B$2)</f>
        <v>39</v>
      </c>
      <c r="H8">
        <f ca="1">SUMIFS(data!X5:X719,data!$B$2:$B$716,diagram!$C8,data!$C$2:$C$716,diagram!H$4,data!$Q$2:$Q$716,$B$1)+SUMIFS(data!$T$2:$T$716,data!$B$2:$B$716,diagram!$C8,data!$C$2:$C$716,diagram!H$4,data!$Q$2:$Q$716,$B$2)</f>
        <v>27</v>
      </c>
      <c r="I8">
        <f ca="1">SUMIFS(data!Y5:Y719,data!$B$2:$B$716,diagram!$C8,data!$C$2:$C$716,diagram!I$4,data!$Q$2:$Q$716,$B$1)+SUMIFS(data!$T$2:$T$716,data!$B$2:$B$716,diagram!$C8,data!$C$2:$C$716,diagram!I$4,data!$Q$2:$Q$716,$B$2)</f>
        <v>27</v>
      </c>
      <c r="J8">
        <f ca="1">SUMIFS(data!Z5:Z719,data!$B$2:$B$716,diagram!$C8,data!$C$2:$C$716,diagram!J$4,data!$Q$2:$Q$716,$B$1)+SUMIFS(data!$T$2:$T$716,data!$B$2:$B$716,diagram!$C8,data!$C$2:$C$716,diagram!J$4,data!$Q$2:$Q$716,$B$2)</f>
        <v>33</v>
      </c>
      <c r="K8">
        <f ca="1">SUMIFS(data!AA5:AA719,data!$B$2:$B$716,diagram!$C8,data!$C$2:$C$716,diagram!K$4,data!$Q$2:$Q$716,$B$1)+SUMIFS(data!$T$2:$T$716,data!$B$2:$B$716,diagram!$C8,data!$C$2:$C$716,diagram!K$4,data!$Q$2:$Q$716,$B$2)</f>
        <v>32</v>
      </c>
      <c r="L8">
        <f ca="1">SUMIFS(data!AB5:AB719,data!$B$2:$B$716,diagram!$C8,data!$C$2:$C$716,diagram!L$4,data!$Q$2:$Q$716,$B$1)+SUMIFS(data!$T$2:$T$716,data!$B$2:$B$716,diagram!$C8,data!$C$2:$C$716,diagram!L$4,data!$Q$2:$Q$716,$B$2)</f>
        <v>26</v>
      </c>
      <c r="M8">
        <f ca="1">SUMIFS(data!AC5:AC719,data!$B$2:$B$716,diagram!$C8,data!$C$2:$C$716,diagram!M$4,data!$Q$2:$Q$716,$B$1)+SUMIFS(data!$T$2:$T$716,data!$B$2:$B$716,diagram!$C8,data!$C$2:$C$716,diagram!M$4,data!$Q$2:$Q$716,$B$2)</f>
        <v>26</v>
      </c>
      <c r="N8">
        <f ca="1">SUMIFS(data!AD5:AD719,data!$B$2:$B$716,diagram!$C8,data!$C$2:$C$716,diagram!N$4,data!$Q$2:$Q$716,$B$1)+SUMIFS(data!$T$2:$T$716,data!$B$2:$B$716,diagram!$C8,data!$C$2:$C$716,diagram!N$4,data!$Q$2:$Q$716,$B$2)</f>
        <v>23</v>
      </c>
      <c r="O8">
        <f ca="1">SUMIFS(data!AE5:AE719,data!$B$2:$B$716,diagram!$C8,data!$C$2:$C$716,diagram!O$4,data!$Q$2:$Q$716,$B$1)+SUMIFS(data!$T$2:$T$716,data!$B$2:$B$716,diagram!$C8,data!$C$2:$C$716,diagram!O$4,data!$Q$2:$Q$716,$B$2)</f>
        <v>22</v>
      </c>
      <c r="P8">
        <f ca="1">SUMIFS(data!AF5:AF719,data!$B$2:$B$716,diagram!$C8,data!$C$2:$C$716,diagram!P$4,data!$Q$2:$Q$716,$B$1)+SUMIFS(data!$T$2:$T$716,data!$B$2:$B$716,diagram!$C8,data!$C$2:$C$716,diagram!P$4,data!$Q$2:$Q$716,$B$2)</f>
        <v>31</v>
      </c>
      <c r="Q8">
        <f ca="1">SUMIFS(data!AG5:AG719,data!$B$2:$B$716,diagram!$C8,data!$C$2:$C$716,diagram!Q$4,data!$Q$2:$Q$716,$B$1)+SUMIFS(data!$T$2:$T$716,data!$B$2:$B$716,diagram!$C8,data!$C$2:$C$716,diagram!Q$4,data!$Q$2:$Q$716,$B$2)</f>
        <v>24</v>
      </c>
      <c r="R8">
        <f ca="1">SUMIFS(data!AH5:AH719,data!$B$2:$B$716,diagram!$C8,data!$C$2:$C$716,diagram!R$4,data!$Q$2:$Q$716,$B$1)+SUMIFS(data!$T$2:$T$716,data!$B$2:$B$716,diagram!$C8,data!$C$2:$C$716,diagram!R$4,data!$Q$2:$Q$716,$B$2)</f>
        <v>25</v>
      </c>
      <c r="S8">
        <f ca="1">SUMIFS(data!AI5:AI719,data!$B$2:$B$716,diagram!$C8,data!$C$2:$C$716,diagram!S$4,data!$Q$2:$Q$716,$B$1)+SUMIFS(data!$T$2:$T$716,data!$B$2:$B$716,diagram!$C8,data!$C$2:$C$716,diagram!S$4,data!$Q$2:$Q$716,$B$2)</f>
        <v>19</v>
      </c>
      <c r="T8">
        <f ca="1">SUMIFS(data!AJ5:AJ719,data!$B$2:$B$716,diagram!$C8,data!$C$2:$C$716,diagram!T$4,data!$Q$2:$Q$716,$B$1)+SUMIFS(data!$T$2:$T$716,data!$B$2:$B$716,diagram!$C8,data!$C$2:$C$716,diagram!T$4,data!$Q$2:$Q$716,$B$2)</f>
        <v>0</v>
      </c>
      <c r="U8">
        <f ca="1">SUMIFS(data!AK5:AK719,data!$B$2:$B$716,diagram!$C8,data!$C$2:$C$716,diagram!U$4,data!$Q$2:$Q$716,$B$1)+SUMIFS(data!$T$2:$T$716,data!$B$2:$B$716,diagram!$C8,data!$C$2:$C$716,diagram!U$4,data!$Q$2:$Q$716,$B$2)</f>
        <v>40</v>
      </c>
      <c r="V8">
        <f ca="1">SUMIFS(data!AL5:AL719,data!$B$2:$B$716,diagram!$C8,data!$C$2:$C$716,diagram!V$4,data!$Q$2:$Q$716,$B$1)+SUMIFS(data!$T$2:$T$716,data!$B$2:$B$716,diagram!$C8,data!$C$2:$C$716,diagram!V$4,data!$Q$2:$Q$716,$B$2)</f>
        <v>47</v>
      </c>
      <c r="W8">
        <f ca="1">SUMIFS(data!AM5:AM719,data!$B$2:$B$716,diagram!$C8,data!$C$2:$C$716,diagram!W$4,data!$Q$2:$Q$716,$B$1)+SUMIFS(data!$T$2:$T$716,data!$B$2:$B$716,diagram!$C8,data!$C$2:$C$716,diagram!W$4,data!$Q$2:$Q$716,$B$2)</f>
        <v>18</v>
      </c>
      <c r="X8">
        <f ca="1">SUMIFS(data!AN5:AN719,data!$B$2:$B$716,diagram!$C8,data!$C$2:$C$716,diagram!X$4,data!$Q$2:$Q$716,$B$1)+SUMIFS(data!$T$2:$T$716,data!$B$2:$B$716,diagram!$C8,data!$C$2:$C$716,diagram!X$4,data!$Q$2:$Q$716,$B$2)</f>
        <v>16</v>
      </c>
      <c r="Y8">
        <f ca="1">SUMIFS(data!AO5:AO719,data!$B$2:$B$716,diagram!$C8,data!$C$2:$C$716,diagram!Y$4,data!$Q$2:$Q$716,$B$1)+SUMIFS(data!$T$2:$T$716,data!$B$2:$B$716,diagram!$C8,data!$C$2:$C$716,diagram!Y$4,data!$Q$2:$Q$716,$B$2)</f>
        <v>16</v>
      </c>
      <c r="Z8">
        <f ca="1">SUMIFS(data!AP5:AP719,data!$B$2:$B$716,diagram!$C8,data!$C$2:$C$716,diagram!Z$4,data!$Q$2:$Q$716,$B$1)+SUMIFS(data!$T$2:$T$716,data!$B$2:$B$716,diagram!$C8,data!$C$2:$C$716,diagram!Z$4,data!$Q$2:$Q$716,$B$2)</f>
        <v>16</v>
      </c>
      <c r="AA8">
        <f ca="1">SUMIFS(data!AQ5:AQ719,data!$B$2:$B$716,diagram!$C8,data!$C$2:$C$716,diagram!AA$4,data!$Q$2:$Q$716,$B$1)+SUMIFS(data!$T$2:$T$716,data!$B$2:$B$716,diagram!$C8,data!$C$2:$C$716,diagram!AA$4,data!$Q$2:$Q$716,$B$2)</f>
        <v>20</v>
      </c>
      <c r="AB8">
        <f ca="1">SUMIFS(data!AR5:AR719,data!$B$2:$B$716,diagram!$C8,data!$C$2:$C$716,diagram!AB$4,data!$Q$2:$Q$716,$B$1)+SUMIFS(data!$T$2:$T$716,data!$B$2:$B$716,diagram!$C8,data!$C$2:$C$716,diagram!AB$4,data!$Q$2:$Q$716,$B$2)</f>
        <v>23</v>
      </c>
      <c r="AC8">
        <f ca="1">SUMIFS(data!AS5:AS719,data!$B$2:$B$716,diagram!$C8,data!$C$2:$C$716,diagram!AC$4,data!$Q$2:$Q$716,$B$1)+SUMIFS(data!$T$2:$T$716,data!$B$2:$B$716,diagram!$C8,data!$C$2:$C$716,diagram!AC$4,data!$Q$2:$Q$716,$B$2)</f>
        <v>20</v>
      </c>
      <c r="AD8">
        <f ca="1">SUMIFS(data!AT5:AT719,data!$B$2:$B$716,diagram!$C8,data!$C$2:$C$716,diagram!AD$4,data!$Q$2:$Q$716,$B$1)+SUMIFS(data!$T$2:$T$716,data!$B$2:$B$716,diagram!$C8,data!$C$2:$C$716,diagram!AD$4,data!$Q$2:$Q$716,$B$2)</f>
        <v>16</v>
      </c>
      <c r="AE8">
        <f ca="1">SUMIFS(data!AU5:AU719,data!$B$2:$B$716,diagram!$C8,data!$C$2:$C$716,diagram!AE$4,data!$Q$2:$Q$716,$B$1)+SUMIFS(data!$T$2:$T$716,data!$B$2:$B$716,diagram!$C8,data!$C$2:$C$716,diagram!AE$4,data!$Q$2:$Q$716,$B$2)</f>
        <v>16</v>
      </c>
      <c r="AF8">
        <f ca="1">SUMIFS(data!AV5:AV719,data!$B$2:$B$716,diagram!$C8,data!$C$2:$C$716,diagram!AF$4,data!$Q$2:$Q$716,$B$1)+SUMIFS(data!$T$2:$T$716,data!$B$2:$B$716,diagram!$C8,data!$C$2:$C$716,diagram!AF$4,data!$Q$2:$Q$716,$B$2)</f>
        <v>0</v>
      </c>
    </row>
    <row r="9" spans="2:32" x14ac:dyDescent="0.45">
      <c r="C9" s="3">
        <v>2025</v>
      </c>
      <c r="D9">
        <f>SUMIFS(data!T6:T720,data!$B$2:$B$716,diagram!$C9,data!$C$2:$C$716,diagram!D$4,data!$Q$2:$Q$716,$B$1)+SUMIFS(data!$T$2:$T$716,data!$B$2:$B$716,diagram!$C9,data!$C$2:$C$716,diagram!D$4,data!$Q$2:$Q$716,$B$2)</f>
        <v>48</v>
      </c>
      <c r="E9">
        <f>SUMIFS(data!U6:U720,data!$B$2:$B$716,diagram!$C9,data!$C$2:$C$716,diagram!E$4,data!$Q$2:$Q$716,$B$1)+SUMIFS(data!$T$2:$T$716,data!$B$2:$B$716,diagram!$C9,data!$C$2:$C$716,diagram!E$4,data!$Q$2:$Q$716,$B$2)</f>
        <v>31</v>
      </c>
      <c r="F9">
        <f ca="1">SUMIFS(data!V6:V720,data!$B$2:$B$716,diagram!$C9,data!$C$2:$C$716,diagram!F$4,data!$Q$2:$Q$716,$B$1)+SUMIFS(data!$T$2:$T$716,data!$B$2:$B$716,diagram!$C9,data!$C$2:$C$716,diagram!F$4,data!$Q$2:$Q$716,$B$2)</f>
        <v>30</v>
      </c>
      <c r="G9">
        <f ca="1">SUMIFS(data!W6:W720,data!$B$2:$B$716,diagram!$C9,data!$C$2:$C$716,diagram!G$4,data!$Q$2:$Q$716,$B$1)+SUMIFS(data!$T$2:$T$716,data!$B$2:$B$716,diagram!$C9,data!$C$2:$C$716,diagram!G$4,data!$Q$2:$Q$716,$B$2)</f>
        <v>33</v>
      </c>
      <c r="H9">
        <f ca="1">SUMIFS(data!X6:X720,data!$B$2:$B$716,diagram!$C9,data!$C$2:$C$716,diagram!H$4,data!$Q$2:$Q$716,$B$1)+SUMIFS(data!$T$2:$T$716,data!$B$2:$B$716,diagram!$C9,data!$C$2:$C$716,diagram!H$4,data!$Q$2:$Q$716,$B$2)</f>
        <v>36</v>
      </c>
      <c r="I9">
        <f ca="1">SUMIFS(data!Y6:Y720,data!$B$2:$B$716,diagram!$C9,data!$C$2:$C$716,diagram!I$4,data!$Q$2:$Q$716,$B$1)+SUMIFS(data!$T$2:$T$716,data!$B$2:$B$716,diagram!$C9,data!$C$2:$C$716,diagram!I$4,data!$Q$2:$Q$716,$B$2)</f>
        <v>38</v>
      </c>
      <c r="J9">
        <f ca="1">SUMIFS(data!Z6:Z720,data!$B$2:$B$716,diagram!$C9,data!$C$2:$C$716,diagram!J$4,data!$Q$2:$Q$716,$B$1)+SUMIFS(data!$T$2:$T$716,data!$B$2:$B$716,diagram!$C9,data!$C$2:$C$716,diagram!J$4,data!$Q$2:$Q$716,$B$2)</f>
        <v>43</v>
      </c>
      <c r="K9">
        <f ca="1">SUMIFS(data!AA6:AA720,data!$B$2:$B$716,diagram!$C9,data!$C$2:$C$716,diagram!K$4,data!$Q$2:$Q$716,$B$1)+SUMIFS(data!$T$2:$T$716,data!$B$2:$B$716,diagram!$C9,data!$C$2:$C$716,diagram!K$4,data!$Q$2:$Q$716,$B$2)</f>
        <v>37</v>
      </c>
      <c r="L9">
        <f ca="1">SUMIFS(data!AB6:AB720,data!$B$2:$B$716,diagram!$C9,data!$C$2:$C$716,diagram!L$4,data!$Q$2:$Q$716,$B$1)+SUMIFS(data!$T$2:$T$716,data!$B$2:$B$716,diagram!$C9,data!$C$2:$C$716,diagram!L$4,data!$Q$2:$Q$716,$B$2)</f>
        <v>36</v>
      </c>
      <c r="M9">
        <f ca="1">SUMIFS(data!AC6:AC720,data!$B$2:$B$716,diagram!$C9,data!$C$2:$C$716,diagram!M$4,data!$Q$2:$Q$716,$B$1)+SUMIFS(data!$T$2:$T$716,data!$B$2:$B$716,diagram!$C9,data!$C$2:$C$716,diagram!M$4,data!$Q$2:$Q$716,$B$2)</f>
        <v>34</v>
      </c>
      <c r="N9">
        <f ca="1">SUMIFS(data!AD6:AD720,data!$B$2:$B$716,diagram!$C9,data!$C$2:$C$716,diagram!N$4,data!$Q$2:$Q$716,$B$1)+SUMIFS(data!$T$2:$T$716,data!$B$2:$B$716,diagram!$C9,data!$C$2:$C$716,diagram!N$4,data!$Q$2:$Q$716,$B$2)</f>
        <v>37</v>
      </c>
      <c r="O9">
        <f ca="1">SUMIFS(data!AE6:AE720,data!$B$2:$B$716,diagram!$C9,data!$C$2:$C$716,diagram!O$4,data!$Q$2:$Q$716,$B$1)+SUMIFS(data!$T$2:$T$716,data!$B$2:$B$716,diagram!$C9,data!$C$2:$C$716,diagram!O$4,data!$Q$2:$Q$716,$B$2)</f>
        <v>35</v>
      </c>
      <c r="P9">
        <f ca="1">SUMIFS(data!AF6:AF720,data!$B$2:$B$716,diagram!$C9,data!$C$2:$C$716,diagram!P$4,data!$Q$2:$Q$716,$B$1)+SUMIFS(data!$T$2:$T$716,data!$B$2:$B$716,diagram!$C9,data!$C$2:$C$716,diagram!P$4,data!$Q$2:$Q$716,$B$2)</f>
        <v>38</v>
      </c>
      <c r="Q9">
        <f ca="1">SUMIFS(data!AG6:AG720,data!$B$2:$B$716,diagram!$C9,data!$C$2:$C$716,diagram!Q$4,data!$Q$2:$Q$716,$B$1)+SUMIFS(data!$T$2:$T$716,data!$B$2:$B$716,diagram!$C9,data!$C$2:$C$716,diagram!Q$4,data!$Q$2:$Q$716,$B$2)</f>
        <v>41</v>
      </c>
      <c r="R9">
        <f ca="1">SUMIFS(data!AH6:AH720,data!$B$2:$B$716,diagram!$C9,data!$C$2:$C$716,diagram!R$4,data!$Q$2:$Q$716,$B$1)+SUMIFS(data!$T$2:$T$716,data!$B$2:$B$716,diagram!$C9,data!$C$2:$C$716,diagram!R$4,data!$Q$2:$Q$716,$B$2)</f>
        <v>37</v>
      </c>
      <c r="S9">
        <f ca="1">SUMIFS(data!AI6:AI720,data!$B$2:$B$716,diagram!$C9,data!$C$2:$C$716,diagram!S$4,data!$Q$2:$Q$716,$B$1)+SUMIFS(data!$T$2:$T$716,data!$B$2:$B$716,diagram!$C9,data!$C$2:$C$716,diagram!S$4,data!$Q$2:$Q$716,$B$2)</f>
        <v>30</v>
      </c>
      <c r="T9">
        <f ca="1">SUMIFS(data!AJ6:AJ720,data!$B$2:$B$716,diagram!$C9,data!$C$2:$C$716,diagram!T$4,data!$Q$2:$Q$716,$B$1)+SUMIFS(data!$T$2:$T$716,data!$B$2:$B$716,diagram!$C9,data!$C$2:$C$716,diagram!T$4,data!$Q$2:$Q$716,$B$2)</f>
        <v>16</v>
      </c>
      <c r="U9">
        <f ca="1">SUMIFS(data!AK6:AK720,data!$B$2:$B$716,diagram!$C9,data!$C$2:$C$716,diagram!U$4,data!$Q$2:$Q$716,$B$1)+SUMIFS(data!$T$2:$T$716,data!$B$2:$B$716,diagram!$C9,data!$C$2:$C$716,diagram!U$4,data!$Q$2:$Q$716,$B$2)</f>
        <v>29</v>
      </c>
      <c r="V9">
        <f ca="1">SUMIFS(data!AL6:AL720,data!$B$2:$B$716,diagram!$C9,data!$C$2:$C$716,diagram!V$4,data!$Q$2:$Q$716,$B$1)+SUMIFS(data!$T$2:$T$716,data!$B$2:$B$716,diagram!$C9,data!$C$2:$C$716,diagram!V$4,data!$Q$2:$Q$716,$B$2)</f>
        <v>34</v>
      </c>
      <c r="W9">
        <f ca="1">SUMIFS(data!AM6:AM720,data!$B$2:$B$716,diagram!$C9,data!$C$2:$C$716,diagram!W$4,data!$Q$2:$Q$716,$B$1)+SUMIFS(data!$T$2:$T$716,data!$B$2:$B$716,diagram!$C9,data!$C$2:$C$716,diagram!W$4,data!$Q$2:$Q$716,$B$2)</f>
        <v>30</v>
      </c>
      <c r="X9">
        <f ca="1">SUMIFS(data!AN6:AN720,data!$B$2:$B$716,diagram!$C9,data!$C$2:$C$716,diagram!X$4,data!$Q$2:$Q$716,$B$1)+SUMIFS(data!$T$2:$T$716,data!$B$2:$B$716,diagram!$C9,data!$C$2:$C$716,diagram!X$4,data!$Q$2:$Q$716,$B$2)</f>
        <v>30</v>
      </c>
      <c r="Y9">
        <f ca="1">SUMIFS(data!AO6:AO720,data!$B$2:$B$716,diagram!$C9,data!$C$2:$C$716,diagram!Y$4,data!$Q$2:$Q$716,$B$1)+SUMIFS(data!$T$2:$T$716,data!$B$2:$B$716,diagram!$C9,data!$C$2:$C$716,diagram!Y$4,data!$Q$2:$Q$716,$B$2)</f>
        <v>30</v>
      </c>
      <c r="Z9">
        <f ca="1">SUMIFS(data!AP6:AP720,data!$B$2:$B$716,diagram!$C9,data!$C$2:$C$716,diagram!Z$4,data!$Q$2:$Q$716,$B$1)+SUMIFS(data!$T$2:$T$716,data!$B$2:$B$716,diagram!$C9,data!$C$2:$C$716,diagram!Z$4,data!$Q$2:$Q$716,$B$2)</f>
        <v>0</v>
      </c>
      <c r="AA9">
        <f ca="1">SUMIFS(data!AQ6:AQ720,data!$B$2:$B$716,diagram!$C9,data!$C$2:$C$716,diagram!AA$4,data!$Q$2:$Q$716,$B$1)+SUMIFS(data!$T$2:$T$716,data!$B$2:$B$716,diagram!$C9,data!$C$2:$C$716,diagram!AA$4,data!$Q$2:$Q$716,$B$2)</f>
        <v>0</v>
      </c>
      <c r="AB9">
        <f ca="1">SUMIFS(data!AR6:AR720,data!$B$2:$B$716,diagram!$C9,data!$C$2:$C$716,diagram!AB$4,data!$Q$2:$Q$716,$B$1)+SUMIFS(data!$T$2:$T$716,data!$B$2:$B$716,diagram!$C9,data!$C$2:$C$716,diagram!AB$4,data!$Q$2:$Q$716,$B$2)</f>
        <v>0</v>
      </c>
      <c r="AC9">
        <f ca="1">SUMIFS(data!AS6:AS720,data!$B$2:$B$716,diagram!$C9,data!$C$2:$C$716,diagram!AC$4,data!$Q$2:$Q$716,$B$1)+SUMIFS(data!$T$2:$T$716,data!$B$2:$B$716,diagram!$C9,data!$C$2:$C$716,diagram!AC$4,data!$Q$2:$Q$716,$B$2)</f>
        <v>0</v>
      </c>
      <c r="AD9">
        <f ca="1">SUMIFS(data!AT6:AT720,data!$B$2:$B$716,diagram!$C9,data!$C$2:$C$716,diagram!AD$4,data!$Q$2:$Q$716,$B$1)+SUMIFS(data!$T$2:$T$716,data!$B$2:$B$716,diagram!$C9,data!$C$2:$C$716,diagram!AD$4,data!$Q$2:$Q$716,$B$2)</f>
        <v>0</v>
      </c>
      <c r="AE9">
        <f ca="1">SUMIFS(data!AU6:AU720,data!$B$2:$B$716,diagram!$C9,data!$C$2:$C$716,diagram!AE$4,data!$Q$2:$Q$716,$B$1)+SUMIFS(data!$T$2:$T$716,data!$B$2:$B$716,diagram!$C9,data!$C$2:$C$716,diagram!AE$4,data!$Q$2:$Q$716,$B$2)</f>
        <v>0</v>
      </c>
      <c r="AF9">
        <f ca="1">SUMIFS(data!AV6:AV720,data!$B$2:$B$716,diagram!$C9,data!$C$2:$C$716,diagram!AF$4,data!$Q$2:$Q$716,$B$1)+SUMIFS(data!$T$2:$T$716,data!$B$2:$B$716,diagram!$C9,data!$C$2:$C$716,diagram!AF$4,data!$Q$2:$Q$716,$B$2)</f>
        <v>0</v>
      </c>
    </row>
    <row r="10" spans="2:32" x14ac:dyDescent="0.45">
      <c r="C10" s="3">
        <v>2026</v>
      </c>
      <c r="D10">
        <f>SUMIFS(data!T7:T721,data!$B$2:$B$716,diagram!$C10,data!$C$2:$C$716,diagram!D$4,data!$Q$2:$Q$716,$B$1)+SUMIFS(data!$T$2:$T$716,data!$B$2:$B$716,diagram!$C10,data!$C$2:$C$716,diagram!D$4,data!$Q$2:$Q$716,$B$2)</f>
        <v>42</v>
      </c>
      <c r="E10">
        <f>SUMIFS(data!U7:U721,data!$B$2:$B$716,diagram!$C10,data!$C$2:$C$716,diagram!E$4,data!$Q$2:$Q$716,$B$1)+SUMIFS(data!$T$2:$T$716,data!$B$2:$B$716,diagram!$C10,data!$C$2:$C$716,diagram!E$4,data!$Q$2:$Q$716,$B$2)</f>
        <v>32</v>
      </c>
      <c r="F10">
        <f ca="1">SUMIFS(data!V7:V721,data!$B$2:$B$716,diagram!$C10,data!$C$2:$C$716,diagram!F$4,data!$Q$2:$Q$716,$B$1)+SUMIFS(data!$T$2:$T$716,data!$B$2:$B$716,diagram!$C10,data!$C$2:$C$716,diagram!F$4,data!$Q$2:$Q$716,$B$2)</f>
        <v>37</v>
      </c>
      <c r="G10">
        <f ca="1">SUMIFS(data!W7:W721,data!$B$2:$B$716,diagram!$C10,data!$C$2:$C$716,diagram!G$4,data!$Q$2:$Q$716,$B$1)+SUMIFS(data!$T$2:$T$716,data!$B$2:$B$716,diagram!$C10,data!$C$2:$C$716,diagram!G$4,data!$Q$2:$Q$716,$B$2)</f>
        <v>34</v>
      </c>
      <c r="H10">
        <f ca="1">SUMIFS(data!X7:X721,data!$B$2:$B$716,diagram!$C10,data!$C$2:$C$716,diagram!H$4,data!$Q$2:$Q$716,$B$1)+SUMIFS(data!$T$2:$T$716,data!$B$2:$B$716,diagram!$C10,data!$C$2:$C$716,diagram!H$4,data!$Q$2:$Q$716,$B$2)</f>
        <v>31</v>
      </c>
      <c r="I10">
        <f ca="1">SUMIFS(data!Y7:Y721,data!$B$2:$B$716,diagram!$C10,data!$C$2:$C$716,diagram!I$4,data!$Q$2:$Q$716,$B$1)+SUMIFS(data!$T$2:$T$716,data!$B$2:$B$716,diagram!$C10,data!$C$2:$C$716,diagram!I$4,data!$Q$2:$Q$716,$B$2)</f>
        <v>25</v>
      </c>
      <c r="J10">
        <f ca="1">SUMIFS(data!Z7:Z721,data!$B$2:$B$716,diagram!$C10,data!$C$2:$C$716,diagram!J$4,data!$Q$2:$Q$716,$B$1)+SUMIFS(data!$T$2:$T$716,data!$B$2:$B$716,diagram!$C10,data!$C$2:$C$716,diagram!J$4,data!$Q$2:$Q$716,$B$2)</f>
        <v>24</v>
      </c>
      <c r="K10">
        <f ca="1">SUMIFS(data!AA7:AA721,data!$B$2:$B$716,diagram!$C10,data!$C$2:$C$716,diagram!K$4,data!$Q$2:$Q$716,$B$1)+SUMIFS(data!$T$2:$T$716,data!$B$2:$B$716,diagram!$C10,data!$C$2:$C$716,diagram!K$4,data!$Q$2:$Q$716,$B$2)</f>
        <v>29</v>
      </c>
      <c r="L10">
        <f ca="1">SUMIFS(data!AB7:AB721,data!$B$2:$B$716,diagram!$C10,data!$C$2:$C$716,diagram!L$4,data!$Q$2:$Q$716,$B$1)+SUMIFS(data!$T$2:$T$716,data!$B$2:$B$716,diagram!$C10,data!$C$2:$C$716,diagram!L$4,data!$Q$2:$Q$716,$B$2)</f>
        <v>24</v>
      </c>
      <c r="M10">
        <f ca="1">SUMIFS(data!AC7:AC721,data!$B$2:$B$716,diagram!$C10,data!$C$2:$C$716,diagram!M$4,data!$Q$2:$Q$716,$B$1)+SUMIFS(data!$T$2:$T$716,data!$B$2:$B$716,diagram!$C10,data!$C$2:$C$716,diagram!M$4,data!$Q$2:$Q$716,$B$2)</f>
        <v>21</v>
      </c>
      <c r="N10">
        <f ca="1">SUMIFS(data!AD7:AD721,data!$B$2:$B$716,diagram!$C10,data!$C$2:$C$716,diagram!N$4,data!$Q$2:$Q$716,$B$1)+SUMIFS(data!$T$2:$T$716,data!$B$2:$B$716,diagram!$C10,data!$C$2:$C$716,diagram!N$4,data!$Q$2:$Q$716,$B$2)</f>
        <v>19</v>
      </c>
      <c r="O10">
        <f ca="1">SUMIFS(data!AE7:AE721,data!$B$2:$B$716,diagram!$C10,data!$C$2:$C$716,diagram!O$4,data!$Q$2:$Q$716,$B$1)+SUMIFS(data!$T$2:$T$716,data!$B$2:$B$716,diagram!$C10,data!$C$2:$C$716,diagram!O$4,data!$Q$2:$Q$716,$B$2)</f>
        <v>17</v>
      </c>
      <c r="P10">
        <f ca="1">SUMIFS(data!AF7:AF721,data!$B$2:$B$716,diagram!$C10,data!$C$2:$C$716,diagram!P$4,data!$Q$2:$Q$716,$B$1)+SUMIFS(data!$T$2:$T$716,data!$B$2:$B$716,diagram!$C10,data!$C$2:$C$716,diagram!P$4,data!$Q$2:$Q$716,$B$2)</f>
        <v>20</v>
      </c>
      <c r="Q10">
        <f ca="1">SUMIFS(data!AG7:AG721,data!$B$2:$B$716,diagram!$C10,data!$C$2:$C$716,diagram!Q$4,data!$Q$2:$Q$716,$B$1)+SUMIFS(data!$T$2:$T$716,data!$B$2:$B$716,diagram!$C10,data!$C$2:$C$716,diagram!Q$4,data!$Q$2:$Q$716,$B$2)</f>
        <v>15</v>
      </c>
      <c r="R10">
        <f ca="1">SUMIFS(data!AH7:AH721,data!$B$2:$B$716,diagram!$C10,data!$C$2:$C$716,diagram!R$4,data!$Q$2:$Q$716,$B$1)+SUMIFS(data!$T$2:$T$716,data!$B$2:$B$716,diagram!$C10,data!$C$2:$C$716,diagram!R$4,data!$Q$2:$Q$716,$B$2)</f>
        <v>16</v>
      </c>
      <c r="S10">
        <f ca="1">SUMIFS(data!AI7:AI721,data!$B$2:$B$716,diagram!$C10,data!$C$2:$C$716,diagram!S$4,data!$Q$2:$Q$716,$B$1)+SUMIFS(data!$T$2:$T$716,data!$B$2:$B$716,diagram!$C10,data!$C$2:$C$716,diagram!S$4,data!$Q$2:$Q$716,$B$2)</f>
        <v>14</v>
      </c>
      <c r="T10">
        <f ca="1">SUMIFS(data!AJ7:AJ721,data!$B$2:$B$716,diagram!$C10,data!$C$2:$C$716,diagram!T$4,data!$Q$2:$Q$716,$B$1)+SUMIFS(data!$T$2:$T$716,data!$B$2:$B$716,diagram!$C10,data!$C$2:$C$716,diagram!T$4,data!$Q$2:$Q$716,$B$2)</f>
        <v>0</v>
      </c>
      <c r="U10">
        <f ca="1">SUMIFS(data!AK7:AK721,data!$B$2:$B$716,diagram!$C10,data!$C$2:$C$716,diagram!U$4,data!$Q$2:$Q$716,$B$1)+SUMIFS(data!$T$2:$T$716,data!$B$2:$B$716,diagram!$C10,data!$C$2:$C$716,diagram!U$4,data!$Q$2:$Q$716,$B$2)</f>
        <v>0</v>
      </c>
      <c r="V10">
        <f ca="1">SUMIFS(data!AL7:AL721,data!$B$2:$B$716,diagram!$C10,data!$C$2:$C$716,diagram!V$4,data!$Q$2:$Q$716,$B$1)+SUMIFS(data!$T$2:$T$716,data!$B$2:$B$716,diagram!$C10,data!$C$2:$C$716,diagram!V$4,data!$Q$2:$Q$716,$B$2)</f>
        <v>0</v>
      </c>
      <c r="W10">
        <f ca="1">SUMIFS(data!AM7:AM721,data!$B$2:$B$716,diagram!$C10,data!$C$2:$C$716,diagram!W$4,data!$Q$2:$Q$716,$B$1)+SUMIFS(data!$T$2:$T$716,data!$B$2:$B$716,diagram!$C10,data!$C$2:$C$716,diagram!W$4,data!$Q$2:$Q$716,$B$2)</f>
        <v>0</v>
      </c>
      <c r="X10">
        <f ca="1">SUMIFS(data!AN7:AN721,data!$B$2:$B$716,diagram!$C10,data!$C$2:$C$716,diagram!X$4,data!$Q$2:$Q$716,$B$1)+SUMIFS(data!$T$2:$T$716,data!$B$2:$B$716,diagram!$C10,data!$C$2:$C$716,diagram!X$4,data!$Q$2:$Q$716,$B$2)</f>
        <v>0</v>
      </c>
      <c r="Y10">
        <f ca="1">SUMIFS(data!AO7:AO721,data!$B$2:$B$716,diagram!$C10,data!$C$2:$C$716,diagram!Y$4,data!$Q$2:$Q$716,$B$1)+SUMIFS(data!$T$2:$T$716,data!$B$2:$B$716,diagram!$C10,data!$C$2:$C$716,diagram!Y$4,data!$Q$2:$Q$716,$B$2)</f>
        <v>0</v>
      </c>
      <c r="Z10">
        <f ca="1">SUMIFS(data!AP7:AP721,data!$B$2:$B$716,diagram!$C10,data!$C$2:$C$716,diagram!Z$4,data!$Q$2:$Q$716,$B$1)+SUMIFS(data!$T$2:$T$716,data!$B$2:$B$716,diagram!$C10,data!$C$2:$C$716,diagram!Z$4,data!$Q$2:$Q$716,$B$2)</f>
        <v>0</v>
      </c>
      <c r="AA10">
        <f ca="1">SUMIFS(data!AQ7:AQ721,data!$B$2:$B$716,diagram!$C10,data!$C$2:$C$716,diagram!AA$4,data!$Q$2:$Q$716,$B$1)+SUMIFS(data!$T$2:$T$716,data!$B$2:$B$716,diagram!$C10,data!$C$2:$C$716,diagram!AA$4,data!$Q$2:$Q$716,$B$2)</f>
        <v>0</v>
      </c>
      <c r="AB10">
        <f ca="1">SUMIFS(data!AR7:AR721,data!$B$2:$B$716,diagram!$C10,data!$C$2:$C$716,diagram!AB$4,data!$Q$2:$Q$716,$B$1)+SUMIFS(data!$T$2:$T$716,data!$B$2:$B$716,diagram!$C10,data!$C$2:$C$716,diagram!AB$4,data!$Q$2:$Q$716,$B$2)</f>
        <v>0</v>
      </c>
      <c r="AC10">
        <f ca="1">SUMIFS(data!AS7:AS721,data!$B$2:$B$716,diagram!$C10,data!$C$2:$C$716,diagram!AC$4,data!$Q$2:$Q$716,$B$1)+SUMIFS(data!$T$2:$T$716,data!$B$2:$B$716,diagram!$C10,data!$C$2:$C$716,diagram!AC$4,data!$Q$2:$Q$716,$B$2)</f>
        <v>0</v>
      </c>
      <c r="AD10">
        <f ca="1">SUMIFS(data!AT7:AT721,data!$B$2:$B$716,diagram!$C10,data!$C$2:$C$716,diagram!AD$4,data!$Q$2:$Q$716,$B$1)+SUMIFS(data!$T$2:$T$716,data!$B$2:$B$716,diagram!$C10,data!$C$2:$C$716,diagram!AD$4,data!$Q$2:$Q$716,$B$2)</f>
        <v>0</v>
      </c>
      <c r="AE10">
        <f ca="1">SUMIFS(data!AU7:AU721,data!$B$2:$B$716,diagram!$C10,data!$C$2:$C$716,diagram!AE$4,data!$Q$2:$Q$716,$B$1)+SUMIFS(data!$T$2:$T$716,data!$B$2:$B$716,diagram!$C10,data!$C$2:$C$716,diagram!AE$4,data!$Q$2:$Q$716,$B$2)</f>
        <v>0</v>
      </c>
      <c r="AF10">
        <f ca="1">SUMIFS(data!AV7:AV721,data!$B$2:$B$716,diagram!$C10,data!$C$2:$C$716,diagram!AF$4,data!$Q$2:$Q$716,$B$1)+SUMIFS(data!$T$2:$T$716,data!$B$2:$B$716,diagram!$C10,data!$C$2:$C$716,diagram!AF$4,data!$Q$2:$Q$716,$B$2)</f>
        <v>0</v>
      </c>
    </row>
    <row r="13" spans="2:32" x14ac:dyDescent="0.45">
      <c r="D13" t="s">
        <v>22</v>
      </c>
      <c r="E13" t="s">
        <v>34</v>
      </c>
      <c r="F13" t="s">
        <v>35</v>
      </c>
      <c r="G13" t="s">
        <v>36</v>
      </c>
      <c r="H13" t="s">
        <v>37</v>
      </c>
      <c r="I13" t="s">
        <v>38</v>
      </c>
      <c r="J13" t="s">
        <v>39</v>
      </c>
      <c r="K13" t="s">
        <v>40</v>
      </c>
      <c r="L13" t="s">
        <v>41</v>
      </c>
      <c r="M13" t="s">
        <v>42</v>
      </c>
      <c r="N13" t="s">
        <v>43</v>
      </c>
      <c r="O13" t="s">
        <v>44</v>
      </c>
      <c r="P13" t="s">
        <v>45</v>
      </c>
      <c r="Q13" t="s">
        <v>46</v>
      </c>
      <c r="R13" t="s">
        <v>47</v>
      </c>
      <c r="S13" t="s">
        <v>48</v>
      </c>
      <c r="T13" t="s">
        <v>49</v>
      </c>
      <c r="U13" t="s">
        <v>50</v>
      </c>
      <c r="V13" t="s">
        <v>51</v>
      </c>
      <c r="W13" t="s">
        <v>52</v>
      </c>
      <c r="X13" t="s">
        <v>53</v>
      </c>
      <c r="Y13" t="s">
        <v>54</v>
      </c>
      <c r="Z13" t="s">
        <v>55</v>
      </c>
      <c r="AA13" t="s">
        <v>56</v>
      </c>
      <c r="AB13" t="s">
        <v>57</v>
      </c>
      <c r="AC13" t="s">
        <v>58</v>
      </c>
      <c r="AD13" t="s">
        <v>59</v>
      </c>
      <c r="AE13" t="s">
        <v>60</v>
      </c>
      <c r="AF13" t="s">
        <v>61</v>
      </c>
    </row>
    <row r="14" spans="2:32" x14ac:dyDescent="0.45">
      <c r="C14" t="s">
        <v>62</v>
      </c>
      <c r="D14">
        <f>_xlfn.MINIFS(D$5:D$10,D$5:D$10,"&lt;&gt;0")</f>
        <v>28</v>
      </c>
      <c r="E14">
        <f t="shared" ref="E14:AF14" si="0">_xlfn.MINIFS(E$5:E$10,E$5:E$10,"&lt;&gt;0")</f>
        <v>18</v>
      </c>
      <c r="F14">
        <f t="shared" ca="1" si="0"/>
        <v>17</v>
      </c>
      <c r="G14">
        <f t="shared" ca="1" si="0"/>
        <v>17</v>
      </c>
      <c r="H14">
        <f t="shared" ca="1" si="0"/>
        <v>19</v>
      </c>
      <c r="I14">
        <f t="shared" ca="1" si="0"/>
        <v>20</v>
      </c>
      <c r="J14">
        <f t="shared" ca="1" si="0"/>
        <v>15</v>
      </c>
      <c r="K14">
        <f t="shared" ca="1" si="0"/>
        <v>14</v>
      </c>
      <c r="L14">
        <f t="shared" ca="1" si="0"/>
        <v>14</v>
      </c>
      <c r="M14">
        <f t="shared" ca="1" si="0"/>
        <v>12</v>
      </c>
      <c r="N14">
        <f t="shared" ca="1" si="0"/>
        <v>8</v>
      </c>
      <c r="O14">
        <f t="shared" ca="1" si="0"/>
        <v>11</v>
      </c>
      <c r="P14">
        <f t="shared" ca="1" si="0"/>
        <v>10</v>
      </c>
      <c r="Q14">
        <f t="shared" ca="1" si="0"/>
        <v>8</v>
      </c>
      <c r="R14">
        <f t="shared" ca="1" si="0"/>
        <v>9</v>
      </c>
      <c r="S14">
        <f t="shared" ca="1" si="0"/>
        <v>9</v>
      </c>
      <c r="T14">
        <f t="shared" ca="1" si="0"/>
        <v>16</v>
      </c>
      <c r="U14">
        <f t="shared" ca="1" si="0"/>
        <v>17</v>
      </c>
      <c r="V14">
        <f t="shared" ca="1" si="0"/>
        <v>25</v>
      </c>
      <c r="W14">
        <f t="shared" ca="1" si="0"/>
        <v>9</v>
      </c>
      <c r="X14">
        <f t="shared" ca="1" si="0"/>
        <v>10</v>
      </c>
      <c r="Y14">
        <f t="shared" ca="1" si="0"/>
        <v>9</v>
      </c>
      <c r="Z14">
        <f t="shared" ca="1" si="0"/>
        <v>8</v>
      </c>
      <c r="AA14">
        <f t="shared" ca="1" si="0"/>
        <v>8</v>
      </c>
      <c r="AB14">
        <f t="shared" ca="1" si="0"/>
        <v>8</v>
      </c>
      <c r="AC14">
        <f t="shared" ca="1" si="0"/>
        <v>9</v>
      </c>
      <c r="AD14">
        <f t="shared" ca="1" si="0"/>
        <v>8</v>
      </c>
      <c r="AE14">
        <f t="shared" ca="1" si="0"/>
        <v>9</v>
      </c>
      <c r="AF14">
        <f t="shared" ca="1" si="0"/>
        <v>11</v>
      </c>
    </row>
    <row r="15" spans="2:32" x14ac:dyDescent="0.45">
      <c r="C15" t="s">
        <v>63</v>
      </c>
      <c r="D15">
        <f>_xlfn.MAXIFS(D$5:D$10,D$5:D$10,"&lt;&gt;0")-D14</f>
        <v>42</v>
      </c>
      <c r="E15">
        <f t="shared" ref="E15:AF15" si="1">_xlfn.MAXIFS(E$5:E$10,E$5:E$10,"&lt;&gt;0")-E14</f>
        <v>19</v>
      </c>
      <c r="F15">
        <f t="shared" ca="1" si="1"/>
        <v>30</v>
      </c>
      <c r="G15">
        <f t="shared" ca="1" si="1"/>
        <v>22</v>
      </c>
      <c r="H15">
        <f t="shared" ca="1" si="1"/>
        <v>17</v>
      </c>
      <c r="I15">
        <f t="shared" ca="1" si="1"/>
        <v>20</v>
      </c>
      <c r="J15">
        <f t="shared" ca="1" si="1"/>
        <v>28</v>
      </c>
      <c r="K15">
        <f t="shared" ca="1" si="1"/>
        <v>29</v>
      </c>
      <c r="L15">
        <f t="shared" ca="1" si="1"/>
        <v>28</v>
      </c>
      <c r="M15">
        <f t="shared" ca="1" si="1"/>
        <v>33</v>
      </c>
      <c r="N15">
        <f t="shared" ca="1" si="1"/>
        <v>40</v>
      </c>
      <c r="O15">
        <f t="shared" ca="1" si="1"/>
        <v>39</v>
      </c>
      <c r="P15">
        <f t="shared" ca="1" si="1"/>
        <v>32</v>
      </c>
      <c r="Q15">
        <f t="shared" ca="1" si="1"/>
        <v>35</v>
      </c>
      <c r="R15">
        <f t="shared" ca="1" si="1"/>
        <v>35</v>
      </c>
      <c r="S15">
        <f t="shared" ca="1" si="1"/>
        <v>44</v>
      </c>
      <c r="T15">
        <f t="shared" ca="1" si="1"/>
        <v>0</v>
      </c>
      <c r="U15">
        <f t="shared" ca="1" si="1"/>
        <v>23</v>
      </c>
      <c r="V15">
        <f t="shared" ca="1" si="1"/>
        <v>22</v>
      </c>
      <c r="W15">
        <f t="shared" ca="1" si="1"/>
        <v>39</v>
      </c>
      <c r="X15">
        <f t="shared" ca="1" si="1"/>
        <v>20</v>
      </c>
      <c r="Y15">
        <f t="shared" ca="1" si="1"/>
        <v>21</v>
      </c>
      <c r="Z15">
        <f t="shared" ca="1" si="1"/>
        <v>44</v>
      </c>
      <c r="AA15">
        <f t="shared" ca="1" si="1"/>
        <v>42</v>
      </c>
      <c r="AB15">
        <f t="shared" ca="1" si="1"/>
        <v>35</v>
      </c>
      <c r="AC15">
        <f t="shared" ca="1" si="1"/>
        <v>35</v>
      </c>
      <c r="AD15">
        <f t="shared" ca="1" si="1"/>
        <v>35</v>
      </c>
      <c r="AE15">
        <f t="shared" ca="1" si="1"/>
        <v>7</v>
      </c>
      <c r="AF15">
        <f t="shared" ca="1" si="1"/>
        <v>0</v>
      </c>
    </row>
    <row r="16" spans="2:32" x14ac:dyDescent="0.45">
      <c r="C16">
        <v>2026</v>
      </c>
      <c r="D16">
        <f>D10</f>
        <v>42</v>
      </c>
      <c r="E16">
        <f t="shared" ref="E16:S16" si="2">E10</f>
        <v>32</v>
      </c>
      <c r="F16">
        <f t="shared" ca="1" si="2"/>
        <v>37</v>
      </c>
      <c r="G16">
        <f t="shared" ca="1" si="2"/>
        <v>34</v>
      </c>
      <c r="H16">
        <f t="shared" ca="1" si="2"/>
        <v>31</v>
      </c>
      <c r="I16">
        <f t="shared" ca="1" si="2"/>
        <v>25</v>
      </c>
      <c r="J16">
        <f t="shared" ca="1" si="2"/>
        <v>24</v>
      </c>
      <c r="K16">
        <f t="shared" ca="1" si="2"/>
        <v>29</v>
      </c>
      <c r="L16">
        <f t="shared" ca="1" si="2"/>
        <v>24</v>
      </c>
      <c r="M16">
        <f t="shared" ca="1" si="2"/>
        <v>21</v>
      </c>
      <c r="N16">
        <f t="shared" ca="1" si="2"/>
        <v>19</v>
      </c>
      <c r="O16">
        <f t="shared" ca="1" si="2"/>
        <v>17</v>
      </c>
      <c r="P16">
        <f t="shared" ca="1" si="2"/>
        <v>20</v>
      </c>
      <c r="Q16">
        <f t="shared" ca="1" si="2"/>
        <v>15</v>
      </c>
      <c r="R16">
        <f t="shared" ca="1" si="2"/>
        <v>16</v>
      </c>
      <c r="S16">
        <f t="shared" ca="1" si="2"/>
        <v>14</v>
      </c>
    </row>
  </sheetData>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88614-150D-462A-8F24-8E343C37E874}">
  <dimension ref="A1"/>
  <sheetViews>
    <sheetView showGridLines="0" topLeftCell="A3" workbookViewId="0">
      <selection activeCell="D20" sqref="D20"/>
    </sheetView>
  </sheetViews>
  <sheetFormatPr defaultRowHeight="14.25" x14ac:dyDescent="0.4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04AB7-3A03-4714-92A9-24F349A364ED}">
  <dimension ref="B3:Y40"/>
  <sheetViews>
    <sheetView showGridLines="0" tabSelected="1" topLeftCell="P9" workbookViewId="0">
      <selection activeCell="Z13" sqref="Z13"/>
    </sheetView>
  </sheetViews>
  <sheetFormatPr defaultRowHeight="14.25" x14ac:dyDescent="0.45"/>
  <cols>
    <col min="25" max="25" width="9.6640625" bestFit="1" customWidth="1"/>
  </cols>
  <sheetData>
    <row r="3" spans="2:23" x14ac:dyDescent="0.45">
      <c r="H3">
        <v>12</v>
      </c>
      <c r="M3">
        <v>1</v>
      </c>
    </row>
    <row r="4" spans="2:23" x14ac:dyDescent="0.45">
      <c r="D4" t="s">
        <v>64</v>
      </c>
      <c r="E4" t="s">
        <v>65</v>
      </c>
      <c r="F4" t="s">
        <v>66</v>
      </c>
      <c r="I4" s="3" t="s">
        <v>64</v>
      </c>
      <c r="J4" s="3" t="s">
        <v>65</v>
      </c>
      <c r="K4" s="3" t="s">
        <v>66</v>
      </c>
      <c r="L4" s="3"/>
      <c r="N4" s="3" t="s">
        <v>64</v>
      </c>
      <c r="O4" s="3" t="s">
        <v>65</v>
      </c>
      <c r="P4" s="3" t="s">
        <v>66</v>
      </c>
      <c r="S4" t="s">
        <v>67</v>
      </c>
      <c r="V4" t="s">
        <v>68</v>
      </c>
    </row>
    <row r="5" spans="2:23" x14ac:dyDescent="0.45">
      <c r="B5" t="s">
        <v>69</v>
      </c>
      <c r="C5" s="3">
        <v>2000</v>
      </c>
      <c r="D5" s="4">
        <f>'[1]US CORN ACREAGE'!C137</f>
        <v>79.551000000000002</v>
      </c>
      <c r="E5">
        <f>'[1]US COTTON ACREAGE'!B33</f>
        <v>15517</v>
      </c>
      <c r="F5" s="5">
        <f>'[1]US SOY ACREAGE'!B23</f>
        <v>74266</v>
      </c>
      <c r="G5" s="5"/>
      <c r="H5" s="3">
        <v>2000</v>
      </c>
      <c r="I5" s="4">
        <f>SUMIFS('[1]corn futures'!$D$1:$D$321,'[1]corn futures'!$B$1:$B$321,Ratios!$H5,'[1]corn futures'!$A$1:$A$321,Ratios!$H$3)/100</f>
        <v>2.3174999999999999</v>
      </c>
      <c r="J5" s="4">
        <f>SUMIFS('[1]cotton futures'!$D$1:$D$265,'[1]cotton futures'!$B$1:$B$265,$H5,'[1]cotton futures'!$A$1:$A$265,Ratios!$H$3)</f>
        <v>0</v>
      </c>
      <c r="K5">
        <f>SUMIFS('[1]soy futures'!$D$1:$D$321,'[1]soy futures'!$B$1:$B$321,Ratios!$H5,'[1]soy futures'!$A$1:$A$321,Ratios!$H$3)/100</f>
        <v>4.9950000000000001</v>
      </c>
      <c r="M5" s="3">
        <v>2000</v>
      </c>
      <c r="N5" s="4">
        <f>SUMIFS('[1]corn futures'!$D$1:$D$321,'[1]corn futures'!$B$1:$B$321,Ratios!$H5,'[1]corn futures'!$A$1:$A$321,Ratios!$H$3)/100</f>
        <v>2.3174999999999999</v>
      </c>
      <c r="O5" s="4">
        <f>SUMIFS('[1]cotton futures'!$D$1:$D$265,'[1]cotton futures'!$B$1:$B$265,$H5,'[1]cotton futures'!$A$1:$A$265,Ratios!$H$3)</f>
        <v>0</v>
      </c>
      <c r="P5">
        <f>SUMIFS('[1]soy futures'!$D$1:$D$321,'[1]soy futures'!$B$1:$B$321,Ratios!$H5,'[1]soy futures'!$A$1:$A$321,Ratios!$H$3)/100</f>
        <v>4.9950000000000001</v>
      </c>
      <c r="R5" s="3">
        <v>2000</v>
      </c>
      <c r="S5">
        <f>D5*1000/F5</f>
        <v>1.0711631163654971</v>
      </c>
      <c r="V5">
        <f>D5*1000/E5</f>
        <v>5.126699748662757</v>
      </c>
    </row>
    <row r="6" spans="2:23" x14ac:dyDescent="0.45">
      <c r="C6" s="3">
        <v>2001</v>
      </c>
      <c r="D6" s="4">
        <f>'[1]US CORN ACREAGE'!C138</f>
        <v>75.701999999999998</v>
      </c>
      <c r="E6">
        <f>'[1]US COTTON ACREAGE'!B34</f>
        <v>15768.5</v>
      </c>
      <c r="F6" s="5">
        <f>'[1]US SOY ACREAGE'!B24</f>
        <v>74075</v>
      </c>
      <c r="G6" s="5"/>
      <c r="H6" s="3">
        <v>2001</v>
      </c>
      <c r="I6" s="4">
        <f>SUMIFS('[1]corn futures'!$D$1:$D$321,'[1]corn futures'!$B$1:$B$321,Ratios!$H6,'[1]corn futures'!$A$1:$A$321,Ratios!$H$3)/100</f>
        <v>2.09</v>
      </c>
      <c r="J6" s="4">
        <f>SUMIFS('[1]cotton futures'!$D$1:$D$265,'[1]cotton futures'!$B$1:$B$265,$H6,'[1]cotton futures'!$A$1:$A$265,Ratios!$H$3)</f>
        <v>0</v>
      </c>
      <c r="K6">
        <f>SUMIFS('[1]soy futures'!$D$1:$D$321,'[1]soy futures'!$B$1:$B$321,Ratios!$H6,'[1]soy futures'!$A$1:$A$321,Ratios!$H$3)/100</f>
        <v>4.21</v>
      </c>
      <c r="M6" s="3">
        <v>2001</v>
      </c>
      <c r="N6" s="4">
        <f>SUMIFS('[1]corn futures'!$D$1:$D$321,'[1]corn futures'!$B$1:$B$321,Ratios!$H6,'[1]corn futures'!$A$1:$A$321,Ratios!$H$3)/100</f>
        <v>2.09</v>
      </c>
      <c r="O6" s="4">
        <f>SUMIFS('[1]cotton futures'!$D$1:$D$265,'[1]cotton futures'!$B$1:$B$265,$H6,'[1]cotton futures'!$A$1:$A$265,Ratios!$H$3)</f>
        <v>0</v>
      </c>
      <c r="P6">
        <f>SUMIFS('[1]soy futures'!$D$1:$D$321,'[1]soy futures'!$B$1:$B$321,Ratios!$H6,'[1]soy futures'!$A$1:$A$321,Ratios!$H$3)/100</f>
        <v>4.21</v>
      </c>
      <c r="R6" s="3">
        <v>2001</v>
      </c>
      <c r="S6">
        <f t="shared" ref="S6:S31" si="0">D6*1000/F6</f>
        <v>1.0219642254471819</v>
      </c>
      <c r="T6">
        <f t="shared" ref="T6:T32" si="1">I5/K5</f>
        <v>0.46396396396396394</v>
      </c>
      <c r="V6">
        <f t="shared" ref="V6:V31" si="2">D6*1000/E6</f>
        <v>4.800837111963725</v>
      </c>
    </row>
    <row r="7" spans="2:23" x14ac:dyDescent="0.45">
      <c r="C7" s="3">
        <v>2002</v>
      </c>
      <c r="D7" s="4">
        <f>'[1]US CORN ACREAGE'!C139</f>
        <v>78.894000000000005</v>
      </c>
      <c r="E7">
        <f>'[1]US COTTON ACREAGE'!B35</f>
        <v>13957.9</v>
      </c>
      <c r="F7" s="5">
        <f>'[1]US SOY ACREAGE'!B25</f>
        <v>73963</v>
      </c>
      <c r="G7" s="5"/>
      <c r="H7" s="3">
        <v>2002</v>
      </c>
      <c r="I7" s="4">
        <f>SUMIFS('[1]corn futures'!$D$1:$D$321,'[1]corn futures'!$B$1:$B$321,Ratios!$H7,'[1]corn futures'!$A$1:$A$321,Ratios!$H$3)/100</f>
        <v>2.3975</v>
      </c>
      <c r="J7" s="4">
        <f>SUMIFS('[1]cotton futures'!$D$1:$D$265,'[1]cotton futures'!$B$1:$B$265,$H7,'[1]cotton futures'!$A$1:$A$265,Ratios!$H$3)</f>
        <v>0</v>
      </c>
      <c r="K7">
        <f>SUMIFS('[1]soy futures'!$D$1:$D$321,'[1]soy futures'!$B$1:$B$321,Ratios!$H7,'[1]soy futures'!$A$1:$A$321,Ratios!$H$3)/100</f>
        <v>5.6950000000000003</v>
      </c>
      <c r="M7" s="3">
        <v>2002</v>
      </c>
      <c r="N7" s="4">
        <f>SUMIFS('[1]corn futures'!$D$1:$D$321,'[1]corn futures'!$B$1:$B$321,Ratios!$H7,'[1]corn futures'!$A$1:$A$321,Ratios!$H$3)/100</f>
        <v>2.3975</v>
      </c>
      <c r="O7" s="4">
        <f>SUMIFS('[1]cotton futures'!$D$1:$D$265,'[1]cotton futures'!$B$1:$B$265,$H7,'[1]cotton futures'!$A$1:$A$265,Ratios!$H$3)</f>
        <v>0</v>
      </c>
      <c r="P7">
        <f>SUMIFS('[1]soy futures'!$D$1:$D$321,'[1]soy futures'!$B$1:$B$321,Ratios!$H7,'[1]soy futures'!$A$1:$A$321,Ratios!$H$3)/100</f>
        <v>5.6950000000000003</v>
      </c>
      <c r="R7" s="3">
        <v>2002</v>
      </c>
      <c r="S7">
        <f t="shared" si="0"/>
        <v>1.0666684693698201</v>
      </c>
      <c r="T7">
        <f t="shared" si="1"/>
        <v>0.49643705463182897</v>
      </c>
      <c r="V7">
        <f t="shared" si="2"/>
        <v>5.6522829365448954</v>
      </c>
    </row>
    <row r="8" spans="2:23" x14ac:dyDescent="0.45">
      <c r="C8" s="3">
        <v>2003</v>
      </c>
      <c r="D8" s="4">
        <f>'[1]US CORN ACREAGE'!C140</f>
        <v>78.602999999999994</v>
      </c>
      <c r="E8">
        <f>'[1]US COTTON ACREAGE'!B36</f>
        <v>13479.6</v>
      </c>
      <c r="F8" s="5">
        <f>'[1]US SOY ACREAGE'!B26</f>
        <v>73404</v>
      </c>
      <c r="G8" s="5"/>
      <c r="H8" s="3">
        <v>2003</v>
      </c>
      <c r="I8" s="4">
        <f>SUMIFS('[1]corn futures'!$D$1:$D$321,'[1]corn futures'!$B$1:$B$321,Ratios!$H8,'[1]corn futures'!$A$1:$A$321,Ratios!$H$3)/100</f>
        <v>2.4874999999999998</v>
      </c>
      <c r="J8" s="4">
        <f>SUMIFS('[1]cotton futures'!$D$1:$D$265,'[1]cotton futures'!$B$1:$B$265,$H8,'[1]cotton futures'!$A$1:$A$265,Ratios!$H$3)</f>
        <v>0</v>
      </c>
      <c r="K8">
        <f>SUMIFS('[1]soy futures'!$D$1:$D$321,'[1]soy futures'!$B$1:$B$321,Ratios!$H8,'[1]soy futures'!$A$1:$A$321,Ratios!$H$3)/100</f>
        <v>7.89</v>
      </c>
      <c r="M8" s="3">
        <v>2003</v>
      </c>
      <c r="N8" s="4">
        <f>SUMIFS('[1]corn futures'!$D$1:$D$321,'[1]corn futures'!$B$1:$B$321,Ratios!$H8,'[1]corn futures'!$A$1:$A$321,Ratios!$H$3)/100</f>
        <v>2.4874999999999998</v>
      </c>
      <c r="O8" s="4">
        <f>SUMIFS('[1]cotton futures'!$D$1:$D$265,'[1]cotton futures'!$B$1:$B$265,$H8,'[1]cotton futures'!$A$1:$A$265,Ratios!$H$3)</f>
        <v>0</v>
      </c>
      <c r="P8">
        <f>SUMIFS('[1]soy futures'!$D$1:$D$321,'[1]soy futures'!$B$1:$B$321,Ratios!$H8,'[1]soy futures'!$A$1:$A$321,Ratios!$H$3)/100</f>
        <v>7.89</v>
      </c>
      <c r="R8" s="3">
        <v>2003</v>
      </c>
      <c r="S8">
        <f t="shared" si="0"/>
        <v>1.0708272028772274</v>
      </c>
      <c r="T8">
        <f t="shared" si="1"/>
        <v>0.42098331870061456</v>
      </c>
      <c r="V8">
        <f t="shared" si="2"/>
        <v>5.8312561203596545</v>
      </c>
    </row>
    <row r="9" spans="2:23" x14ac:dyDescent="0.45">
      <c r="C9" s="3">
        <v>2004</v>
      </c>
      <c r="D9" s="4">
        <f>'[1]US CORN ACREAGE'!C141</f>
        <v>80.929000000000002</v>
      </c>
      <c r="E9">
        <f>'[1]US COTTON ACREAGE'!B37</f>
        <v>13658.6</v>
      </c>
      <c r="F9" s="5">
        <f>'[1]US SOY ACREAGE'!B27</f>
        <v>75208</v>
      </c>
      <c r="G9" s="5"/>
      <c r="H9" s="3">
        <v>2004</v>
      </c>
      <c r="I9" s="4">
        <f>SUMIFS('[1]corn futures'!$D$1:$D$321,'[1]corn futures'!$B$1:$B$321,Ratios!$H9,'[1]corn futures'!$A$1:$A$321,Ratios!$H$3)/100</f>
        <v>2.13</v>
      </c>
      <c r="J9" s="4">
        <f>SUMIFS('[1]cotton futures'!$D$1:$D$265,'[1]cotton futures'!$B$1:$B$265,$H9,'[1]cotton futures'!$A$1:$A$265,Ratios!$H$3)</f>
        <v>44.77</v>
      </c>
      <c r="K9">
        <f>SUMIFS('[1]soy futures'!$D$1:$D$321,'[1]soy futures'!$B$1:$B$321,Ratios!$H9,'[1]soy futures'!$A$1:$A$321,Ratios!$H$3)/100</f>
        <v>5.4775</v>
      </c>
      <c r="M9" s="3">
        <v>2004</v>
      </c>
      <c r="N9" s="4">
        <f>SUMIFS('[1]corn futures'!$D$1:$D$321,'[1]corn futures'!$B$1:$B$321,Ratios!$H9,'[1]corn futures'!$A$1:$A$321,Ratios!$H$3)/100</f>
        <v>2.13</v>
      </c>
      <c r="O9" s="4">
        <f>SUMIFS('[1]cotton futures'!$D$1:$D$265,'[1]cotton futures'!$B$1:$B$265,$H9,'[1]cotton futures'!$A$1:$A$265,Ratios!$H$3)</f>
        <v>44.77</v>
      </c>
      <c r="P9">
        <f>SUMIFS('[1]soy futures'!$D$1:$D$321,'[1]soy futures'!$B$1:$B$321,Ratios!$H9,'[1]soy futures'!$A$1:$A$321,Ratios!$H$3)/100</f>
        <v>5.4775</v>
      </c>
      <c r="R9" s="3">
        <v>2004</v>
      </c>
      <c r="S9">
        <f t="shared" si="0"/>
        <v>1.0760690352090203</v>
      </c>
      <c r="T9">
        <f t="shared" si="1"/>
        <v>0.31527249683143216</v>
      </c>
      <c r="V9">
        <f t="shared" si="2"/>
        <v>5.9251314190326969</v>
      </c>
    </row>
    <row r="10" spans="2:23" x14ac:dyDescent="0.45">
      <c r="C10" s="3">
        <v>2005</v>
      </c>
      <c r="D10" s="4">
        <f>'[1]US CORN ACREAGE'!C142</f>
        <v>81.778999999999996</v>
      </c>
      <c r="E10">
        <f>'[1]US COTTON ACREAGE'!B38</f>
        <v>14245.4</v>
      </c>
      <c r="F10" s="5">
        <f>'[1]US SOY ACREAGE'!B28</f>
        <v>72032</v>
      </c>
      <c r="G10" s="5"/>
      <c r="H10" s="3">
        <v>2005</v>
      </c>
      <c r="I10" s="4">
        <f>SUMIFS('[1]corn futures'!$D$1:$D$321,'[1]corn futures'!$B$1:$B$321,Ratios!$H10,'[1]corn futures'!$A$1:$A$321,Ratios!$H$3)/100</f>
        <v>2.25</v>
      </c>
      <c r="J10" s="4">
        <f>SUMIFS('[1]cotton futures'!$D$1:$D$265,'[1]cotton futures'!$B$1:$B$265,$H10,'[1]cotton futures'!$A$1:$A$265,Ratios!$H$3)</f>
        <v>54.19</v>
      </c>
      <c r="K10">
        <f>SUMIFS('[1]soy futures'!$D$1:$D$321,'[1]soy futures'!$B$1:$B$321,Ratios!$H10,'[1]soy futures'!$A$1:$A$321,Ratios!$H$3)/100</f>
        <v>6.02</v>
      </c>
      <c r="M10" s="3">
        <v>2005</v>
      </c>
      <c r="N10" s="4">
        <f>SUMIFS('[1]corn futures'!$D$1:$D$321,'[1]corn futures'!$B$1:$B$321,Ratios!$H10,'[1]corn futures'!$A$1:$A$321,Ratios!$H$3)/100</f>
        <v>2.25</v>
      </c>
      <c r="O10" s="4">
        <f>SUMIFS('[1]cotton futures'!$D$1:$D$265,'[1]cotton futures'!$B$1:$B$265,$H10,'[1]cotton futures'!$A$1:$A$265,Ratios!$H$3)</f>
        <v>54.19</v>
      </c>
      <c r="P10">
        <f>SUMIFS('[1]soy futures'!$D$1:$D$321,'[1]soy futures'!$B$1:$B$321,Ratios!$H10,'[1]soy futures'!$A$1:$A$321,Ratios!$H$3)/100</f>
        <v>6.02</v>
      </c>
      <c r="R10" s="3">
        <v>2005</v>
      </c>
      <c r="S10">
        <f t="shared" si="0"/>
        <v>1.1353148600621945</v>
      </c>
      <c r="T10">
        <f t="shared" si="1"/>
        <v>0.38886353263350065</v>
      </c>
      <c r="V10">
        <f t="shared" si="2"/>
        <v>5.7407303410223651</v>
      </c>
    </row>
    <row r="11" spans="2:23" x14ac:dyDescent="0.45">
      <c r="C11" s="3">
        <v>2006</v>
      </c>
      <c r="D11" s="4">
        <f>'[1]US CORN ACREAGE'!C143</f>
        <v>78.326999999999998</v>
      </c>
      <c r="E11">
        <f>'[1]US COTTON ACREAGE'!B39</f>
        <v>15274</v>
      </c>
      <c r="F11" s="5">
        <f>'[1]US SOY ACREAGE'!B29</f>
        <v>75522</v>
      </c>
      <c r="G11" s="5"/>
      <c r="H11" s="3">
        <v>2006</v>
      </c>
      <c r="I11" s="4">
        <f>SUMIFS('[1]corn futures'!$D$1:$D$321,'[1]corn futures'!$B$1:$B$321,Ratios!$H11,'[1]corn futures'!$A$1:$A$321,Ratios!$H$3)/100</f>
        <v>3.9849999999999999</v>
      </c>
      <c r="J11" s="4">
        <f>SUMIFS('[1]cotton futures'!$D$1:$D$265,'[1]cotton futures'!$B$1:$B$265,$H11,'[1]cotton futures'!$A$1:$A$265,Ratios!$H$3)</f>
        <v>56.19</v>
      </c>
      <c r="K11">
        <f>SUMIFS('[1]soy futures'!$D$1:$D$321,'[1]soy futures'!$B$1:$B$321,Ratios!$H11,'[1]soy futures'!$A$1:$A$321,Ratios!$H$3)/100</f>
        <v>6.835</v>
      </c>
      <c r="M11" s="3">
        <v>2006</v>
      </c>
      <c r="N11" s="4">
        <f>SUMIFS('[1]corn futures'!$D$1:$D$321,'[1]corn futures'!$B$1:$B$321,Ratios!$H11,'[1]corn futures'!$A$1:$A$321,Ratios!$H$3)/100</f>
        <v>3.9849999999999999</v>
      </c>
      <c r="O11" s="4">
        <f>SUMIFS('[1]cotton futures'!$D$1:$D$265,'[1]cotton futures'!$B$1:$B$265,$H11,'[1]cotton futures'!$A$1:$A$265,Ratios!$H$3)</f>
        <v>56.19</v>
      </c>
      <c r="P11">
        <f>SUMIFS('[1]soy futures'!$D$1:$D$321,'[1]soy futures'!$B$1:$B$321,Ratios!$H11,'[1]soy futures'!$A$1:$A$321,Ratios!$H$3)/100</f>
        <v>6.835</v>
      </c>
      <c r="R11" s="3">
        <v>2006</v>
      </c>
      <c r="S11">
        <f t="shared" si="0"/>
        <v>1.0371414951934537</v>
      </c>
      <c r="T11">
        <f t="shared" si="1"/>
        <v>0.37375415282392027</v>
      </c>
      <c r="V11">
        <f t="shared" si="2"/>
        <v>5.1281262275762733</v>
      </c>
    </row>
    <row r="12" spans="2:23" x14ac:dyDescent="0.45">
      <c r="C12" s="3">
        <v>2007</v>
      </c>
      <c r="D12" s="4">
        <f>'[1]US CORN ACREAGE'!C144</f>
        <v>93.527000000000001</v>
      </c>
      <c r="E12">
        <f>'[1]US COTTON ACREAGE'!B40</f>
        <v>10827.2</v>
      </c>
      <c r="F12" s="5">
        <f>'[1]US SOY ACREAGE'!B30</f>
        <v>64741</v>
      </c>
      <c r="G12" s="5"/>
      <c r="H12" s="3">
        <v>2007</v>
      </c>
      <c r="I12" s="4">
        <f>SUMIFS('[1]corn futures'!$D$1:$D$321,'[1]corn futures'!$B$1:$B$321,Ratios!$H12,'[1]corn futures'!$A$1:$A$321,Ratios!$H$3)/100</f>
        <v>4.6675000000000004</v>
      </c>
      <c r="J12" s="4">
        <f>SUMIFS('[1]cotton futures'!$D$1:$D$265,'[1]cotton futures'!$B$1:$B$265,$H12,'[1]cotton futures'!$A$1:$A$265,Ratios!$H$3)</f>
        <v>68.010000000000005</v>
      </c>
      <c r="K12">
        <f>SUMIFS('[1]soy futures'!$D$1:$D$321,'[1]soy futures'!$B$1:$B$321,Ratios!$H12,'[1]soy futures'!$A$1:$A$321,Ratios!$H$3)/100</f>
        <v>11.99</v>
      </c>
      <c r="M12" s="3">
        <v>2007</v>
      </c>
      <c r="N12" s="4">
        <f>SUMIFS('[1]corn futures'!$D$1:$D$321,'[1]corn futures'!$B$1:$B$321,Ratios!$H12,'[1]corn futures'!$A$1:$A$321,Ratios!$H$3)/100</f>
        <v>4.6675000000000004</v>
      </c>
      <c r="O12" s="4">
        <f>SUMIFS('[1]cotton futures'!$D$1:$D$265,'[1]cotton futures'!$B$1:$B$265,$H12,'[1]cotton futures'!$A$1:$A$265,Ratios!$H$3)</f>
        <v>68.010000000000005</v>
      </c>
      <c r="P12">
        <f>SUMIFS('[1]soy futures'!$D$1:$D$321,'[1]soy futures'!$B$1:$B$321,Ratios!$H12,'[1]soy futures'!$A$1:$A$321,Ratios!$H$3)/100</f>
        <v>11.99</v>
      </c>
      <c r="R12" s="3">
        <v>2007</v>
      </c>
      <c r="S12">
        <f t="shared" si="0"/>
        <v>1.4446332308737895</v>
      </c>
      <c r="T12">
        <f t="shared" si="1"/>
        <v>0.5830285296269202</v>
      </c>
      <c r="V12">
        <f t="shared" si="2"/>
        <v>8.6381520614748037</v>
      </c>
    </row>
    <row r="13" spans="2:23" x14ac:dyDescent="0.45">
      <c r="C13" s="3">
        <v>2008</v>
      </c>
      <c r="D13" s="4">
        <f>'[1]US CORN ACREAGE'!C145</f>
        <v>85.981999999999999</v>
      </c>
      <c r="E13">
        <f>'[1]US COTTON ACREAGE'!B41</f>
        <v>9471</v>
      </c>
      <c r="F13" s="5">
        <f>'[1]US SOY ACREAGE'!B31</f>
        <v>75718</v>
      </c>
      <c r="G13" s="5"/>
      <c r="H13" s="3">
        <v>2008</v>
      </c>
      <c r="I13" s="4">
        <f>SUMIFS('[1]corn futures'!$D$1:$D$321,'[1]corn futures'!$B$1:$B$321,Ratios!$H13,'[1]corn futures'!$A$1:$A$321,Ratios!$H$3)/100</f>
        <v>4.1775000000000002</v>
      </c>
      <c r="J13" s="4">
        <f>SUMIFS('[1]cotton futures'!$D$1:$D$265,'[1]cotton futures'!$B$1:$B$265,$H13,'[1]cotton futures'!$A$1:$A$265,Ratios!$H$3)</f>
        <v>49.02</v>
      </c>
      <c r="K13">
        <f>SUMIFS('[1]soy futures'!$D$1:$D$321,'[1]soy futures'!$B$1:$B$321,Ratios!$H13,'[1]soy futures'!$A$1:$A$321,Ratios!$H$3)/100</f>
        <v>9.7225000000000001</v>
      </c>
      <c r="M13" s="3">
        <v>2008</v>
      </c>
      <c r="N13" s="4">
        <f>SUMIFS('[1]corn futures'!$D$1:$D$321,'[1]corn futures'!$B$1:$B$321,Ratios!$H13,'[1]corn futures'!$A$1:$A$321,Ratios!$H$3)/100</f>
        <v>4.1775000000000002</v>
      </c>
      <c r="O13" s="4">
        <f>SUMIFS('[1]cotton futures'!$D$1:$D$265,'[1]cotton futures'!$B$1:$B$265,$H13,'[1]cotton futures'!$A$1:$A$265,Ratios!$H$3)</f>
        <v>49.02</v>
      </c>
      <c r="P13">
        <f>SUMIFS('[1]soy futures'!$D$1:$D$321,'[1]soy futures'!$B$1:$B$321,Ratios!$H13,'[1]soy futures'!$A$1:$A$321,Ratios!$H$3)/100</f>
        <v>9.7225000000000001</v>
      </c>
      <c r="R13" s="3">
        <v>2008</v>
      </c>
      <c r="S13">
        <f t="shared" si="0"/>
        <v>1.1355556142528858</v>
      </c>
      <c r="T13">
        <f t="shared" si="1"/>
        <v>0.38928273561301086</v>
      </c>
      <c r="V13">
        <f t="shared" si="2"/>
        <v>9.078450005279274</v>
      </c>
    </row>
    <row r="14" spans="2:23" x14ac:dyDescent="0.45">
      <c r="C14" s="3">
        <v>2009</v>
      </c>
      <c r="D14" s="4">
        <f>'[1]US CORN ACREAGE'!C146</f>
        <v>86.382000000000005</v>
      </c>
      <c r="E14">
        <f>'[1]US COTTON ACREAGE'!B42</f>
        <v>9149.5</v>
      </c>
      <c r="F14" s="5">
        <f>'[1]US SOY ACREAGE'!B32</f>
        <v>77451</v>
      </c>
      <c r="G14" s="5"/>
      <c r="H14" s="3">
        <v>2009</v>
      </c>
      <c r="I14" s="4">
        <f>SUMIFS('[1]corn futures'!$D$1:$D$321,'[1]corn futures'!$B$1:$B$321,Ratios!$H14,'[1]corn futures'!$A$1:$A$321,Ratios!$H$3)/100</f>
        <v>4.2424999999999997</v>
      </c>
      <c r="J14" s="4">
        <f>SUMIFS('[1]cotton futures'!$D$1:$D$265,'[1]cotton futures'!$B$1:$B$265,$H14,'[1]cotton futures'!$A$1:$A$265,Ratios!$H$3)</f>
        <v>75.599999999999994</v>
      </c>
      <c r="K14">
        <f>SUMIFS('[1]soy futures'!$D$1:$D$321,'[1]soy futures'!$B$1:$B$321,Ratios!$H14,'[1]soy futures'!$A$1:$A$321,Ratios!$H$3)/100</f>
        <v>10.4925</v>
      </c>
      <c r="M14" s="3">
        <v>2009</v>
      </c>
      <c r="N14" s="4">
        <f>SUMIFS('[1]corn futures'!$D$1:$D$321,'[1]corn futures'!$B$1:$B$321,Ratios!$H14,'[1]corn futures'!$A$1:$A$321,Ratios!$H$3)/100</f>
        <v>4.2424999999999997</v>
      </c>
      <c r="O14" s="4">
        <f>SUMIFS('[1]cotton futures'!$D$1:$D$265,'[1]cotton futures'!$B$1:$B$265,$H14,'[1]cotton futures'!$A$1:$A$265,Ratios!$H$3)</f>
        <v>75.599999999999994</v>
      </c>
      <c r="P14">
        <f>SUMIFS('[1]soy futures'!$D$1:$D$321,'[1]soy futures'!$B$1:$B$321,Ratios!$H14,'[1]soy futures'!$A$1:$A$321,Ratios!$H$3)/100</f>
        <v>10.4925</v>
      </c>
      <c r="R14" s="3">
        <v>2009</v>
      </c>
      <c r="S14">
        <f t="shared" si="0"/>
        <v>1.115311616376806</v>
      </c>
      <c r="T14">
        <f t="shared" si="1"/>
        <v>0.42967343790177426</v>
      </c>
      <c r="V14">
        <f t="shared" si="2"/>
        <v>9.4411716487239747</v>
      </c>
    </row>
    <row r="15" spans="2:23" x14ac:dyDescent="0.45">
      <c r="C15" s="3">
        <v>2010</v>
      </c>
      <c r="D15" s="4">
        <f>'[1]US CORN ACREAGE'!C147</f>
        <v>88.191999999999993</v>
      </c>
      <c r="E15">
        <f>'[1]US COTTON ACREAGE'!B43</f>
        <v>10974.2</v>
      </c>
      <c r="F15" s="5">
        <f>'[1]US SOY ACREAGE'!B33</f>
        <v>77404</v>
      </c>
      <c r="G15" s="5"/>
      <c r="H15" s="3">
        <v>2010</v>
      </c>
      <c r="I15" s="4">
        <f>SUMIFS('[1]corn futures'!$D$1:$D$321,'[1]corn futures'!$B$1:$B$321,Ratios!$H15,'[1]corn futures'!$A$1:$A$321,Ratios!$H$3)/100</f>
        <v>6.3650000000000002</v>
      </c>
      <c r="J15" s="4">
        <f>SUMIFS('[1]cotton futures'!$D$1:$D$265,'[1]cotton futures'!$B$1:$B$265,$H15,'[1]cotton futures'!$A$1:$A$265,Ratios!$H$3)</f>
        <v>144.81</v>
      </c>
      <c r="K15">
        <f>SUMIFS('[1]soy futures'!$D$1:$D$321,'[1]soy futures'!$B$1:$B$321,Ratios!$H15,'[1]soy futures'!$A$1:$A$321,Ratios!$H$3)/100</f>
        <v>14.038800000000002</v>
      </c>
      <c r="M15" s="3">
        <v>2010</v>
      </c>
      <c r="N15" s="4">
        <f>SUMIFS('[1]corn futures'!$D$1:$D$321,'[1]corn futures'!$B$1:$B$321,Ratios!$H15,'[1]corn futures'!$A$1:$A$321,Ratios!$H$3)/100</f>
        <v>6.3650000000000002</v>
      </c>
      <c r="O15" s="4">
        <f>SUMIFS('[1]cotton futures'!$D$1:$D$265,'[1]cotton futures'!$B$1:$B$265,$H15,'[1]cotton futures'!$A$1:$A$265,Ratios!$H$3)</f>
        <v>144.81</v>
      </c>
      <c r="P15">
        <f>SUMIFS('[1]soy futures'!$D$1:$D$321,'[1]soy futures'!$B$1:$B$321,Ratios!$H15,'[1]soy futures'!$A$1:$A$321,Ratios!$H$3)/100</f>
        <v>14.038800000000002</v>
      </c>
      <c r="R15" s="3">
        <v>2010</v>
      </c>
      <c r="S15">
        <f t="shared" si="0"/>
        <v>1.1393726422407111</v>
      </c>
      <c r="T15">
        <f t="shared" si="1"/>
        <v>0.40433643078389325</v>
      </c>
      <c r="V15">
        <f t="shared" si="2"/>
        <v>8.0363033296276711</v>
      </c>
      <c r="W15">
        <f t="shared" ref="W15:W32" si="3">N14/O14</f>
        <v>5.6117724867724865E-2</v>
      </c>
    </row>
    <row r="16" spans="2:23" x14ac:dyDescent="0.45">
      <c r="C16" s="3">
        <v>2011</v>
      </c>
      <c r="D16" s="4">
        <f>'[1]US CORN ACREAGE'!C148</f>
        <v>91.936000000000007</v>
      </c>
      <c r="E16">
        <f>'[1]US COTTON ACREAGE'!B44</f>
        <v>14735.4</v>
      </c>
      <c r="F16" s="5">
        <f>'[1]US SOY ACREAGE'!B34</f>
        <v>75046</v>
      </c>
      <c r="G16" s="5"/>
      <c r="H16" s="3">
        <v>2011</v>
      </c>
      <c r="I16" s="4">
        <f>SUMIFS('[1]corn futures'!$D$1:$D$321,'[1]corn futures'!$B$1:$B$321,Ratios!$H16,'[1]corn futures'!$A$1:$A$321,Ratios!$H$3)/100</f>
        <v>6.5475000000000003</v>
      </c>
      <c r="J16" s="4">
        <f>SUMIFS('[1]cotton futures'!$D$1:$D$265,'[1]cotton futures'!$B$1:$B$265,$H16,'[1]cotton futures'!$A$1:$A$265,Ratios!$H$3)</f>
        <v>91.8</v>
      </c>
      <c r="K16">
        <f>SUMIFS('[1]soy futures'!$D$1:$D$321,'[1]soy futures'!$B$1:$B$321,Ratios!$H16,'[1]soy futures'!$A$1:$A$321,Ratios!$H$3)/100</f>
        <v>12.1188</v>
      </c>
      <c r="M16" s="3">
        <v>2011</v>
      </c>
      <c r="N16" s="4">
        <f>SUMIFS('[1]corn futures'!$D$1:$D$321,'[1]corn futures'!$B$1:$B$321,Ratios!$H16,'[1]corn futures'!$A$1:$A$321,Ratios!$H$3)/100</f>
        <v>6.5475000000000003</v>
      </c>
      <c r="O16" s="4">
        <f>SUMIFS('[1]cotton futures'!$D$1:$D$265,'[1]cotton futures'!$B$1:$B$265,$H16,'[1]cotton futures'!$A$1:$A$265,Ratios!$H$3)</f>
        <v>91.8</v>
      </c>
      <c r="P16">
        <f>SUMIFS('[1]soy futures'!$D$1:$D$321,'[1]soy futures'!$B$1:$B$321,Ratios!$H16,'[1]soy futures'!$A$1:$A$321,Ratios!$H$3)/100</f>
        <v>12.1188</v>
      </c>
      <c r="R16" s="3">
        <v>2011</v>
      </c>
      <c r="S16">
        <f t="shared" si="0"/>
        <v>1.2250619619966421</v>
      </c>
      <c r="T16">
        <f t="shared" si="1"/>
        <v>0.4533863293158959</v>
      </c>
      <c r="V16">
        <f t="shared" si="2"/>
        <v>6.2391248286439458</v>
      </c>
      <c r="W16">
        <f t="shared" si="3"/>
        <v>4.3954146813065399E-2</v>
      </c>
    </row>
    <row r="17" spans="3:25" x14ac:dyDescent="0.45">
      <c r="C17" s="3">
        <v>2012</v>
      </c>
      <c r="D17" s="4">
        <f>'[1]US CORN ACREAGE'!C149</f>
        <v>97.290999999999997</v>
      </c>
      <c r="E17">
        <f>'[1]US COTTON ACREAGE'!B45</f>
        <v>12264.4</v>
      </c>
      <c r="F17" s="5">
        <f>'[1]US SOY ACREAGE'!B35</f>
        <v>77198</v>
      </c>
      <c r="G17" s="5"/>
      <c r="H17" s="3">
        <v>2012</v>
      </c>
      <c r="I17" s="4">
        <f>SUMIFS('[1]corn futures'!$D$1:$D$321,'[1]corn futures'!$B$1:$B$321,Ratios!$H17,'[1]corn futures'!$A$1:$A$321,Ratios!$H$3)/100</f>
        <v>6.9824999999999999</v>
      </c>
      <c r="J17" s="4">
        <f>SUMIFS('[1]cotton futures'!$D$1:$D$265,'[1]cotton futures'!$B$1:$B$265,$H17,'[1]cotton futures'!$A$1:$A$265,Ratios!$H$3)</f>
        <v>75.86</v>
      </c>
      <c r="K17">
        <f>SUMIFS('[1]soy futures'!$D$1:$D$321,'[1]soy futures'!$B$1:$B$321,Ratios!$H17,'[1]soy futures'!$A$1:$A$321,Ratios!$H$3)/100</f>
        <v>14.085000000000001</v>
      </c>
      <c r="M17" s="3">
        <v>2012</v>
      </c>
      <c r="N17" s="4">
        <f>SUMIFS('[1]corn futures'!$D$1:$D$321,'[1]corn futures'!$B$1:$B$321,Ratios!$H17,'[1]corn futures'!$A$1:$A$321,Ratios!$H$3)/100</f>
        <v>6.9824999999999999</v>
      </c>
      <c r="O17" s="4">
        <f>SUMIFS('[1]cotton futures'!$D$1:$D$265,'[1]cotton futures'!$B$1:$B$265,$H17,'[1]cotton futures'!$A$1:$A$265,Ratios!$H$3)</f>
        <v>75.86</v>
      </c>
      <c r="P17">
        <f>SUMIFS('[1]soy futures'!$D$1:$D$321,'[1]soy futures'!$B$1:$B$321,Ratios!$H17,'[1]soy futures'!$A$1:$A$321,Ratios!$H$3)/100</f>
        <v>14.085000000000001</v>
      </c>
      <c r="R17" s="3">
        <v>2012</v>
      </c>
      <c r="S17">
        <f t="shared" si="0"/>
        <v>1.2602787636985413</v>
      </c>
      <c r="T17">
        <f t="shared" si="1"/>
        <v>0.54027626497673042</v>
      </c>
      <c r="V17">
        <f t="shared" si="2"/>
        <v>7.9327973647304395</v>
      </c>
      <c r="W17">
        <f t="shared" si="3"/>
        <v>7.1323529411764716E-2</v>
      </c>
    </row>
    <row r="18" spans="3:25" x14ac:dyDescent="0.45">
      <c r="C18" s="3">
        <v>2013</v>
      </c>
      <c r="D18" s="4">
        <f>'[1]US CORN ACREAGE'!C150</f>
        <v>95.364999999999995</v>
      </c>
      <c r="E18">
        <f>'[1]US COTTON ACREAGE'!B46</f>
        <v>10407</v>
      </c>
      <c r="F18" s="5">
        <f>'[1]US SOY ACREAGE'!B36</f>
        <v>76820</v>
      </c>
      <c r="G18" s="5"/>
      <c r="H18" s="3">
        <v>2013</v>
      </c>
      <c r="I18" s="4">
        <f>SUMIFS('[1]corn futures'!$D$1:$D$321,'[1]corn futures'!$B$1:$B$321,Ratios!$H18,'[1]corn futures'!$A$1:$A$321,Ratios!$H$3)/100</f>
        <v>4.22</v>
      </c>
      <c r="J18" s="4">
        <f>SUMIFS('[1]cotton futures'!$D$1:$D$265,'[1]cotton futures'!$B$1:$B$265,$H18,'[1]cotton futures'!$A$1:$A$265,Ratios!$H$3)</f>
        <v>84.64</v>
      </c>
      <c r="K18">
        <f>SUMIFS('[1]soy futures'!$D$1:$D$321,'[1]soy futures'!$B$1:$B$321,Ratios!$H18,'[1]soy futures'!$A$1:$A$321,Ratios!$H$3)/100</f>
        <v>12.893800000000001</v>
      </c>
      <c r="M18" s="3">
        <v>2013</v>
      </c>
      <c r="N18" s="4">
        <f>SUMIFS('[1]corn futures'!$D$1:$D$321,'[1]corn futures'!$B$1:$B$321,Ratios!$H18,'[1]corn futures'!$A$1:$A$321,Ratios!$H$3)/100</f>
        <v>4.22</v>
      </c>
      <c r="O18" s="4">
        <f>SUMIFS('[1]cotton futures'!$D$1:$D$265,'[1]cotton futures'!$B$1:$B$265,$H18,'[1]cotton futures'!$A$1:$A$265,Ratios!$H$3)</f>
        <v>84.64</v>
      </c>
      <c r="P18">
        <f>SUMIFS('[1]soy futures'!$D$1:$D$321,'[1]soy futures'!$B$1:$B$321,Ratios!$H18,'[1]soy futures'!$A$1:$A$321,Ratios!$H$3)/100</f>
        <v>12.893800000000001</v>
      </c>
      <c r="R18" s="3">
        <v>2013</v>
      </c>
      <c r="S18">
        <f t="shared" si="0"/>
        <v>1.24140848737308</v>
      </c>
      <c r="T18">
        <f t="shared" si="1"/>
        <v>0.49574014909478165</v>
      </c>
      <c r="V18">
        <f t="shared" si="2"/>
        <v>9.1635437686172772</v>
      </c>
      <c r="W18">
        <f t="shared" si="3"/>
        <v>9.2044555760611657E-2</v>
      </c>
    </row>
    <row r="19" spans="3:25" x14ac:dyDescent="0.45">
      <c r="C19" s="3">
        <v>2014</v>
      </c>
      <c r="D19" s="4">
        <f>'[1]US CORN ACREAGE'!C151</f>
        <v>90.596999999999994</v>
      </c>
      <c r="E19">
        <f>'[1]US COTTON ACREAGE'!B47</f>
        <v>11148.4</v>
      </c>
      <c r="F19" s="5">
        <f>'[1]US SOY ACREAGE'!B37</f>
        <v>83296</v>
      </c>
      <c r="G19" s="5"/>
      <c r="H19" s="3">
        <v>2014</v>
      </c>
      <c r="I19" s="4">
        <f>SUMIFS('[1]corn futures'!$D$1:$D$321,'[1]corn futures'!$B$1:$B$321,Ratios!$H19,'[1]corn futures'!$A$1:$A$321,Ratios!$H$3)/100</f>
        <v>3.97</v>
      </c>
      <c r="J19" s="4">
        <f>SUMIFS('[1]cotton futures'!$D$1:$D$265,'[1]cotton futures'!$B$1:$B$265,$H19,'[1]cotton futures'!$A$1:$A$265,Ratios!$H$3)</f>
        <v>60.27</v>
      </c>
      <c r="K19">
        <f>SUMIFS('[1]soy futures'!$D$1:$D$321,'[1]soy futures'!$B$1:$B$321,Ratios!$H19,'[1]soy futures'!$A$1:$A$321,Ratios!$H$3)/100</f>
        <v>10.2288</v>
      </c>
      <c r="M19" s="3">
        <v>2014</v>
      </c>
      <c r="N19" s="4">
        <f>SUMIFS('[1]corn futures'!$D$1:$D$321,'[1]corn futures'!$B$1:$B$321,Ratios!$H19,'[1]corn futures'!$A$1:$A$321,Ratios!$H$3)/100</f>
        <v>3.97</v>
      </c>
      <c r="O19" s="4">
        <f>SUMIFS('[1]cotton futures'!$D$1:$D$265,'[1]cotton futures'!$B$1:$B$265,$H19,'[1]cotton futures'!$A$1:$A$265,Ratios!$H$3)</f>
        <v>60.27</v>
      </c>
      <c r="P19">
        <f>SUMIFS('[1]soy futures'!$D$1:$D$321,'[1]soy futures'!$B$1:$B$321,Ratios!$H19,'[1]soy futures'!$A$1:$A$321,Ratios!$H$3)/100</f>
        <v>10.2288</v>
      </c>
      <c r="R19" s="3">
        <v>2014</v>
      </c>
      <c r="S19">
        <f t="shared" si="0"/>
        <v>1.08765126776796</v>
      </c>
      <c r="T19">
        <f t="shared" si="1"/>
        <v>0.32728908467635603</v>
      </c>
      <c r="V19">
        <f t="shared" si="2"/>
        <v>8.1264576082666569</v>
      </c>
      <c r="W19">
        <f t="shared" si="3"/>
        <v>4.985822306238185E-2</v>
      </c>
    </row>
    <row r="20" spans="3:25" x14ac:dyDescent="0.45">
      <c r="C20" s="3">
        <v>2015</v>
      </c>
      <c r="D20" s="4">
        <f>'[1]US CORN ACREAGE'!C152</f>
        <v>88.019000000000005</v>
      </c>
      <c r="E20">
        <f>'[1]US COTTON ACREAGE'!B48</f>
        <v>8580.5</v>
      </c>
      <c r="F20" s="5">
        <f>'[1]US SOY ACREAGE'!B38</f>
        <v>82660</v>
      </c>
      <c r="G20" s="5"/>
      <c r="H20" s="3">
        <v>2015</v>
      </c>
      <c r="I20" s="4">
        <f>SUMIFS('[1]corn futures'!$D$1:$D$321,'[1]corn futures'!$B$1:$B$321,Ratios!$H20,'[1]corn futures'!$A$1:$A$321,Ratios!$H$3)/100</f>
        <v>3.5874999999999999</v>
      </c>
      <c r="J20" s="4">
        <f>SUMIFS('[1]cotton futures'!$D$1:$D$265,'[1]cotton futures'!$B$1:$B$265,$H20,'[1]cotton futures'!$A$1:$A$265,Ratios!$H$3)</f>
        <v>63.28</v>
      </c>
      <c r="K20">
        <f>SUMIFS('[1]soy futures'!$D$1:$D$321,'[1]soy futures'!$B$1:$B$321,Ratios!$H20,'[1]soy futures'!$A$1:$A$321,Ratios!$H$3)/100</f>
        <v>8.6363000000000003</v>
      </c>
      <c r="M20" s="3">
        <v>2015</v>
      </c>
      <c r="N20" s="4">
        <f>SUMIFS('[1]corn futures'!$D$1:$D$321,'[1]corn futures'!$B$1:$B$321,Ratios!$H20,'[1]corn futures'!$A$1:$A$321,Ratios!$H$3)/100</f>
        <v>3.5874999999999999</v>
      </c>
      <c r="O20" s="4">
        <f>SUMIFS('[1]cotton futures'!$D$1:$D$265,'[1]cotton futures'!$B$1:$B$265,$H20,'[1]cotton futures'!$A$1:$A$265,Ratios!$H$3)</f>
        <v>63.28</v>
      </c>
      <c r="P20">
        <f>SUMIFS('[1]soy futures'!$D$1:$D$321,'[1]soy futures'!$B$1:$B$321,Ratios!$H20,'[1]soy futures'!$A$1:$A$321,Ratios!$H$3)/100</f>
        <v>8.6363000000000003</v>
      </c>
      <c r="R20" s="3">
        <v>2015</v>
      </c>
      <c r="S20">
        <f t="shared" si="0"/>
        <v>1.0648318412775224</v>
      </c>
      <c r="T20">
        <f t="shared" si="1"/>
        <v>0.38811981855154076</v>
      </c>
      <c r="V20">
        <f t="shared" si="2"/>
        <v>10.258026921508071</v>
      </c>
      <c r="W20">
        <f t="shared" si="3"/>
        <v>6.5870250539240088E-2</v>
      </c>
    </row>
    <row r="21" spans="3:25" x14ac:dyDescent="0.45">
      <c r="C21" s="3">
        <v>2016</v>
      </c>
      <c r="D21" s="4">
        <f>'[1]US CORN ACREAGE'!C153</f>
        <v>94.004000000000005</v>
      </c>
      <c r="E21">
        <f>'[1]US COTTON ACREAGE'!B49</f>
        <v>10073.5</v>
      </c>
      <c r="F21" s="5">
        <f>'[1]US SOY ACREAGE'!B39</f>
        <v>83453</v>
      </c>
      <c r="G21" s="5"/>
      <c r="H21" s="3">
        <v>2016</v>
      </c>
      <c r="I21" s="4">
        <f>SUMIFS('[1]corn futures'!$D$1:$D$321,'[1]corn futures'!$B$1:$B$321,Ratios!$H21,'[1]corn futures'!$A$1:$A$321,Ratios!$H$3)/100</f>
        <v>3.52</v>
      </c>
      <c r="J21" s="4">
        <f>SUMIFS('[1]cotton futures'!$D$1:$D$265,'[1]cotton futures'!$B$1:$B$265,$H21,'[1]cotton futures'!$A$1:$A$265,Ratios!$H$3)</f>
        <v>70.650000000000006</v>
      </c>
      <c r="K21">
        <f>SUMIFS('[1]soy futures'!$D$1:$D$321,'[1]soy futures'!$B$1:$B$321,Ratios!$H21,'[1]soy futures'!$A$1:$A$321,Ratios!$H$3)/100</f>
        <v>10.051</v>
      </c>
      <c r="M21" s="3">
        <v>2016</v>
      </c>
      <c r="N21" s="4">
        <f>SUMIFS('[1]corn futures'!$D$1:$D$321,'[1]corn futures'!$B$1:$B$321,Ratios!$H21,'[1]corn futures'!$A$1:$A$321,Ratios!$H$3)/100</f>
        <v>3.52</v>
      </c>
      <c r="O21" s="4">
        <f>SUMIFS('[1]cotton futures'!$D$1:$D$265,'[1]cotton futures'!$B$1:$B$265,$H21,'[1]cotton futures'!$A$1:$A$265,Ratios!$H$3)</f>
        <v>70.650000000000006</v>
      </c>
      <c r="P21">
        <f>SUMIFS('[1]soy futures'!$D$1:$D$321,'[1]soy futures'!$B$1:$B$321,Ratios!$H21,'[1]soy futures'!$A$1:$A$321,Ratios!$H$3)/100</f>
        <v>10.051</v>
      </c>
      <c r="R21" s="3">
        <v>2016</v>
      </c>
      <c r="S21">
        <f t="shared" si="0"/>
        <v>1.1264304458797167</v>
      </c>
      <c r="T21">
        <f t="shared" si="1"/>
        <v>0.41539779766798279</v>
      </c>
      <c r="V21">
        <f t="shared" si="2"/>
        <v>9.3318111877698922</v>
      </c>
      <c r="W21">
        <f t="shared" si="3"/>
        <v>5.6692477876106193E-2</v>
      </c>
    </row>
    <row r="22" spans="3:25" x14ac:dyDescent="0.45">
      <c r="C22" s="3">
        <v>2017</v>
      </c>
      <c r="D22" s="4">
        <f>'[1]US CORN ACREAGE'!C154</f>
        <v>90.167000000000002</v>
      </c>
      <c r="E22">
        <f>'[1]US COTTON ACREAGE'!B50</f>
        <v>12717.5</v>
      </c>
      <c r="F22" s="5">
        <f>'[1]US SOY ACREAGE'!B40</f>
        <v>90162</v>
      </c>
      <c r="G22" s="5"/>
      <c r="H22" s="3">
        <v>2017</v>
      </c>
      <c r="I22" s="4">
        <f>SUMIFS('[1]corn futures'!$D$1:$D$321,'[1]corn futures'!$B$1:$B$321,Ratios!$H22,'[1]corn futures'!$A$1:$A$321,Ratios!$H$3)/100</f>
        <v>3.5074999999999998</v>
      </c>
      <c r="J22" s="4">
        <f>SUMIFS('[1]cotton futures'!$D$1:$D$265,'[1]cotton futures'!$B$1:$B$265,$H22,'[1]cotton futures'!$A$1:$A$265,Ratios!$H$3)</f>
        <v>78.63</v>
      </c>
      <c r="K22">
        <f>SUMIFS('[1]soy futures'!$D$1:$D$321,'[1]soy futures'!$B$1:$B$321,Ratios!$H22,'[1]soy futures'!$A$1:$A$321,Ratios!$H$3)/100</f>
        <v>9.625</v>
      </c>
      <c r="M22" s="3">
        <v>2017</v>
      </c>
      <c r="N22" s="4">
        <f>SUMIFS('[1]corn futures'!$D$1:$D$321,'[1]corn futures'!$B$1:$B$321,Ratios!$H22,'[1]corn futures'!$A$1:$A$321,Ratios!$H$3)/100</f>
        <v>3.5074999999999998</v>
      </c>
      <c r="O22" s="4">
        <f>SUMIFS('[1]cotton futures'!$D$1:$D$265,'[1]cotton futures'!$B$1:$B$265,$H22,'[1]cotton futures'!$A$1:$A$265,Ratios!$H$3)</f>
        <v>78.63</v>
      </c>
      <c r="P22">
        <f>SUMIFS('[1]soy futures'!$D$1:$D$321,'[1]soy futures'!$B$1:$B$321,Ratios!$H22,'[1]soy futures'!$A$1:$A$321,Ratios!$H$3)/100</f>
        <v>9.625</v>
      </c>
      <c r="R22" s="3">
        <v>2017</v>
      </c>
      <c r="S22">
        <f t="shared" si="0"/>
        <v>1.0000554557352321</v>
      </c>
      <c r="T22">
        <f t="shared" si="1"/>
        <v>0.35021390906377475</v>
      </c>
      <c r="V22">
        <f t="shared" si="2"/>
        <v>7.0899941026145079</v>
      </c>
      <c r="W22">
        <f t="shared" si="3"/>
        <v>4.9823071479122433E-2</v>
      </c>
    </row>
    <row r="23" spans="3:25" x14ac:dyDescent="0.45">
      <c r="C23" s="3">
        <v>2018</v>
      </c>
      <c r="D23" s="4">
        <f>'[1]US CORN ACREAGE'!C155</f>
        <v>88.820999999999998</v>
      </c>
      <c r="E23">
        <f>'[1]US COTTON ACREAGE'!B51</f>
        <v>14081.3</v>
      </c>
      <c r="F23" s="5">
        <f>'[1]US SOY ACREAGE'!B41</f>
        <v>89167</v>
      </c>
      <c r="G23" s="5"/>
      <c r="H23" s="3">
        <v>2018</v>
      </c>
      <c r="I23" s="4">
        <f>SUMIFS('[1]corn futures'!$D$1:$D$321,'[1]corn futures'!$B$1:$B$321,Ratios!$H23,'[1]corn futures'!$A$1:$A$321,Ratios!$H$3)/100</f>
        <v>3.75</v>
      </c>
      <c r="J23" s="4">
        <f>SUMIFS('[1]cotton futures'!$D$1:$D$265,'[1]cotton futures'!$B$1:$B$265,$H23,'[1]cotton futures'!$A$1:$A$265,Ratios!$H$3)</f>
        <v>72.2</v>
      </c>
      <c r="K23">
        <f>SUMIFS('[1]soy futures'!$D$1:$D$321,'[1]soy futures'!$B$1:$B$321,Ratios!$H23,'[1]soy futures'!$A$1:$A$321,Ratios!$H$3)/100</f>
        <v>8.94</v>
      </c>
      <c r="M23" s="3">
        <v>2018</v>
      </c>
      <c r="N23" s="4">
        <f>SUMIFS('[1]corn futures'!$D$1:$D$321,'[1]corn futures'!$B$1:$B$321,Ratios!$H23,'[1]corn futures'!$A$1:$A$321,Ratios!$H$3)/100</f>
        <v>3.75</v>
      </c>
      <c r="O23" s="4">
        <f>SUMIFS('[1]cotton futures'!$D$1:$D$265,'[1]cotton futures'!$B$1:$B$265,$H23,'[1]cotton futures'!$A$1:$A$265,Ratios!$H$3)</f>
        <v>72.2</v>
      </c>
      <c r="P23">
        <f>SUMIFS('[1]soy futures'!$D$1:$D$321,'[1]soy futures'!$B$1:$B$321,Ratios!$H23,'[1]soy futures'!$A$1:$A$321,Ratios!$H$3)/100</f>
        <v>8.94</v>
      </c>
      <c r="R23" s="3">
        <v>2018</v>
      </c>
      <c r="S23">
        <f t="shared" si="0"/>
        <v>0.99611964067424053</v>
      </c>
      <c r="T23">
        <f t="shared" si="1"/>
        <v>0.36441558441558441</v>
      </c>
      <c r="V23">
        <f t="shared" si="2"/>
        <v>6.3077272694992654</v>
      </c>
      <c r="W23">
        <f t="shared" si="3"/>
        <v>4.4607656110899147E-2</v>
      </c>
    </row>
    <row r="24" spans="3:25" x14ac:dyDescent="0.45">
      <c r="C24" s="3">
        <v>2019</v>
      </c>
      <c r="D24" s="4">
        <f>'[1]US CORN ACREAGE'!C156</f>
        <v>89.37</v>
      </c>
      <c r="E24">
        <f>'[1]US COTTON ACREAGE'!B52</f>
        <v>13722.7</v>
      </c>
      <c r="F24" s="5">
        <f>'[1]US SOY ACREAGE'!B42</f>
        <v>76100</v>
      </c>
      <c r="G24" s="5"/>
      <c r="H24" s="3">
        <v>2019</v>
      </c>
      <c r="I24" s="4">
        <f>SUMIFS('[1]corn futures'!$D$1:$D$321,'[1]corn futures'!$B$1:$B$321,Ratios!$H24,'[1]corn futures'!$A$1:$A$321,Ratios!$H$3)/100</f>
        <v>3.8774999999999999</v>
      </c>
      <c r="J24" s="4">
        <f>SUMIFS('[1]cotton futures'!$D$1:$D$265,'[1]cotton futures'!$B$1:$B$265,$H24,'[1]cotton futures'!$A$1:$A$265,Ratios!$H$3)</f>
        <v>69.05</v>
      </c>
      <c r="K24">
        <f>SUMIFS('[1]soy futures'!$D$1:$D$321,'[1]soy futures'!$B$1:$B$321,Ratios!$H24,'[1]soy futures'!$A$1:$A$321,Ratios!$H$3)/100</f>
        <v>9.4350000000000005</v>
      </c>
      <c r="M24" s="3">
        <v>2019</v>
      </c>
      <c r="N24" s="4">
        <f>SUMIFS('[1]corn futures'!$D$1:$D$321,'[1]corn futures'!$B$1:$B$321,Ratios!$H24,'[1]corn futures'!$A$1:$A$321,Ratios!$H$3)/100</f>
        <v>3.8774999999999999</v>
      </c>
      <c r="O24" s="4">
        <f>SUMIFS('[1]cotton futures'!$D$1:$D$265,'[1]cotton futures'!$B$1:$B$265,$H24,'[1]cotton futures'!$A$1:$A$265,Ratios!$H$3)</f>
        <v>69.05</v>
      </c>
      <c r="P24">
        <f>SUMIFS('[1]soy futures'!$D$1:$D$321,'[1]soy futures'!$B$1:$B$321,Ratios!$H24,'[1]soy futures'!$A$1:$A$321,Ratios!$H$3)/100</f>
        <v>9.4350000000000005</v>
      </c>
      <c r="R24" s="3">
        <v>2019</v>
      </c>
      <c r="S24">
        <f t="shared" si="0"/>
        <v>1.1743758212877793</v>
      </c>
      <c r="T24">
        <f t="shared" si="1"/>
        <v>0.41946308724832215</v>
      </c>
      <c r="V24">
        <f t="shared" si="2"/>
        <v>6.5125667689303119</v>
      </c>
      <c r="W24">
        <f t="shared" si="3"/>
        <v>5.1939058171745149E-2</v>
      </c>
    </row>
    <row r="25" spans="3:25" x14ac:dyDescent="0.45">
      <c r="C25" s="3">
        <v>2020</v>
      </c>
      <c r="D25" s="4">
        <f>'[1]US CORN ACREAGE'!C157</f>
        <v>90.432000000000002</v>
      </c>
      <c r="E25">
        <f>'[1]US COTTON ACREAGE'!B53</f>
        <v>12086</v>
      </c>
      <c r="F25" s="5">
        <f>'[1]US SOY ACREAGE'!B43</f>
        <v>83354</v>
      </c>
      <c r="G25" s="5"/>
      <c r="H25" s="3">
        <v>2020</v>
      </c>
      <c r="I25" s="4">
        <f>SUMIFS('[1]corn futures'!$D$1:$D$321,'[1]corn futures'!$B$1:$B$321,Ratios!$H25,'[1]corn futures'!$A$1:$A$321,Ratios!$H$3)/100</f>
        <v>4.84</v>
      </c>
      <c r="J25" s="4">
        <f>SUMIFS('[1]cotton futures'!$D$1:$D$265,'[1]cotton futures'!$B$1:$B$265,$H25,'[1]cotton futures'!$A$1:$A$265,Ratios!$H$3)</f>
        <v>78.12</v>
      </c>
      <c r="K25">
        <f>SUMIFS('[1]soy futures'!$D$1:$D$321,'[1]soy futures'!$B$1:$B$321,Ratios!$H25,'[1]soy futures'!$A$1:$A$321,Ratios!$H$3)/100</f>
        <v>13.102499999999999</v>
      </c>
      <c r="M25" s="3">
        <v>2020</v>
      </c>
      <c r="N25" s="4">
        <f>SUMIFS('[1]corn futures'!$D$1:$D$321,'[1]corn futures'!$B$1:$B$321,Ratios!$H25,'[1]corn futures'!$A$1:$A$321,Ratios!$H$3)/100</f>
        <v>4.84</v>
      </c>
      <c r="O25" s="4">
        <f>SUMIFS('[1]cotton futures'!$D$1:$D$265,'[1]cotton futures'!$B$1:$B$265,$H25,'[1]cotton futures'!$A$1:$A$265,Ratios!$H$3)</f>
        <v>78.12</v>
      </c>
      <c r="P25">
        <f>SUMIFS('[1]soy futures'!$D$1:$D$321,'[1]soy futures'!$B$1:$B$321,Ratios!$H25,'[1]soy futures'!$A$1:$A$321,Ratios!$H$3)/100</f>
        <v>13.102499999999999</v>
      </c>
      <c r="R25" s="3">
        <v>2020</v>
      </c>
      <c r="S25">
        <f t="shared" si="0"/>
        <v>1.0849149410946086</v>
      </c>
      <c r="T25">
        <f t="shared" si="1"/>
        <v>0.41096979332273448</v>
      </c>
      <c r="V25">
        <f t="shared" si="2"/>
        <v>7.4823763031606818</v>
      </c>
      <c r="W25">
        <f t="shared" si="3"/>
        <v>5.6154960173787113E-2</v>
      </c>
    </row>
    <row r="26" spans="3:25" x14ac:dyDescent="0.45">
      <c r="C26" s="3">
        <v>2021</v>
      </c>
      <c r="D26" s="4">
        <f>'[1]US CORN ACREAGE'!C158</f>
        <v>92.900999999999996</v>
      </c>
      <c r="E26">
        <f>'[1]US COTTON ACREAGE'!B54</f>
        <v>11206.5</v>
      </c>
      <c r="F26" s="5">
        <f>'[1]US SOY ACREAGE'!B44</f>
        <v>87195</v>
      </c>
      <c r="G26" s="5"/>
      <c r="H26" s="3">
        <v>2021</v>
      </c>
      <c r="I26" s="4">
        <f>SUMIFS('[1]corn futures'!$D$1:$D$321,'[1]corn futures'!$B$1:$B$321,Ratios!$H26,'[1]corn futures'!$A$1:$A$321,Ratios!$H$3)/100</f>
        <v>5.9325000000000001</v>
      </c>
      <c r="J26" s="4">
        <f>SUMIFS('[1]cotton futures'!$D$1:$D$265,'[1]cotton futures'!$B$1:$B$265,$H26,'[1]cotton futures'!$A$1:$A$265,Ratios!$H$3)</f>
        <v>112.6</v>
      </c>
      <c r="K26">
        <f>SUMIFS('[1]soy futures'!$D$1:$D$321,'[1]soy futures'!$B$1:$B$321,Ratios!$H26,'[1]soy futures'!$A$1:$A$321,Ratios!$H$3)/100</f>
        <v>13.2875</v>
      </c>
      <c r="M26" s="3">
        <v>2021</v>
      </c>
      <c r="N26" s="4">
        <f>SUMIFS('[1]corn futures'!$D$1:$D$321,'[1]corn futures'!$B$1:$B$321,Ratios!$H26,'[1]corn futures'!$A$1:$A$321,Ratios!$H$3)/100</f>
        <v>5.9325000000000001</v>
      </c>
      <c r="O26" s="4">
        <f>SUMIFS('[1]cotton futures'!$D$1:$D$265,'[1]cotton futures'!$B$1:$B$265,$H26,'[1]cotton futures'!$A$1:$A$265,Ratios!$H$3)</f>
        <v>112.6</v>
      </c>
      <c r="P26">
        <f>SUMIFS('[1]soy futures'!$D$1:$D$321,'[1]soy futures'!$B$1:$B$321,Ratios!$H26,'[1]soy futures'!$A$1:$A$321,Ratios!$H$3)/100</f>
        <v>13.2875</v>
      </c>
      <c r="R26" s="3">
        <v>2021</v>
      </c>
      <c r="S26">
        <f t="shared" si="0"/>
        <v>1.0654395320832617</v>
      </c>
      <c r="T26">
        <f t="shared" si="1"/>
        <v>0.36939515359664188</v>
      </c>
      <c r="V26">
        <f t="shared" si="2"/>
        <v>8.2899210279748363</v>
      </c>
      <c r="W26">
        <f t="shared" si="3"/>
        <v>6.1955965181771627E-2</v>
      </c>
    </row>
    <row r="27" spans="3:25" x14ac:dyDescent="0.45">
      <c r="C27" s="3">
        <v>2022</v>
      </c>
      <c r="D27" s="4">
        <f>'[1]US CORN ACREAGE'!C159</f>
        <v>88.162000000000006</v>
      </c>
      <c r="E27">
        <f>'[1]US COTTON ACREAGE'!B55</f>
        <v>13749</v>
      </c>
      <c r="F27" s="5">
        <f>'[1]US SOY ACREAGE'!B45</f>
        <v>87450</v>
      </c>
      <c r="G27" s="5"/>
      <c r="H27" s="3">
        <v>2022</v>
      </c>
      <c r="I27" s="4">
        <f>SUMIFS('[1]corn futures'!$D$1:$D$321,'[1]corn futures'!$B$1:$B$321,Ratios!$H27,'[1]corn futures'!$A$1:$A$321,Ratios!$H$3)/100</f>
        <v>6.7850000000000001</v>
      </c>
      <c r="J27" s="4">
        <f>SUMIFS('[1]cotton futures'!$D$1:$D$265,'[1]cotton futures'!$B$1:$B$265,$H27,'[1]cotton futures'!$A$1:$A$265,Ratios!$H$3)</f>
        <v>83.37</v>
      </c>
      <c r="K27">
        <f>SUMIFS('[1]soy futures'!$D$1:$D$321,'[1]soy futures'!$B$1:$B$321,Ratios!$H27,'[1]soy futures'!$A$1:$A$321,Ratios!$H$3)/100</f>
        <v>15.24</v>
      </c>
      <c r="M27" s="3">
        <v>2022</v>
      </c>
      <c r="N27" s="4">
        <f>SUMIFS('[1]corn futures'!$D$1:$D$321,'[1]corn futures'!$B$1:$B$321,Ratios!$H27,'[1]corn futures'!$A$1:$A$321,Ratios!$H$3)/100</f>
        <v>6.7850000000000001</v>
      </c>
      <c r="O27" s="4">
        <f>SUMIFS('[1]cotton futures'!$D$1:$D$265,'[1]cotton futures'!$B$1:$B$265,$H27,'[1]cotton futures'!$A$1:$A$265,Ratios!$H$3)</f>
        <v>83.37</v>
      </c>
      <c r="P27">
        <f>SUMIFS('[1]soy futures'!$D$1:$D$321,'[1]soy futures'!$B$1:$B$321,Ratios!$H27,'[1]soy futures'!$A$1:$A$321,Ratios!$H$3)/100</f>
        <v>15.24</v>
      </c>
      <c r="R27" s="3">
        <v>2022</v>
      </c>
      <c r="S27">
        <f t="shared" si="0"/>
        <v>1.0081417953116065</v>
      </c>
      <c r="T27">
        <f t="shared" si="1"/>
        <v>0.44647224835371591</v>
      </c>
      <c r="V27">
        <f t="shared" si="2"/>
        <v>6.4122481635028006</v>
      </c>
      <c r="W27">
        <f t="shared" si="3"/>
        <v>5.2686500888099473E-2</v>
      </c>
    </row>
    <row r="28" spans="3:25" x14ac:dyDescent="0.45">
      <c r="C28" s="3">
        <v>2023</v>
      </c>
      <c r="D28" s="4">
        <f>'[1]US CORN ACREAGE'!C160</f>
        <v>94.641000000000005</v>
      </c>
      <c r="E28">
        <f>'[1]US COTTON ACREAGE'!B56</f>
        <v>10230</v>
      </c>
      <c r="F28" s="5">
        <f>'[1]US SOY ACREAGE'!B46</f>
        <v>83600</v>
      </c>
      <c r="G28" s="5"/>
      <c r="H28" s="3">
        <v>2023</v>
      </c>
      <c r="I28" s="4">
        <f>SUMIFS('[1]corn futures'!$D$1:$D$321,'[1]corn futures'!$B$1:$B$321,Ratios!$H28,'[1]corn futures'!$A$1:$A$321,Ratios!$H$3)/100</f>
        <v>4.7125000000000004</v>
      </c>
      <c r="J28" s="4">
        <f>SUMIFS('[1]cotton futures'!$D$1:$D$265,'[1]cotton futures'!$B$1:$B$265,$H28,'[1]cotton futures'!$A$1:$A$265,Ratios!$H$3)</f>
        <v>81</v>
      </c>
      <c r="K28">
        <f>SUMIFS('[1]soy futures'!$D$1:$D$321,'[1]soy futures'!$B$1:$B$321,Ratios!$H28,'[1]soy futures'!$A$1:$A$321,Ratios!$H$3)/100</f>
        <v>12.935</v>
      </c>
      <c r="M28" s="3">
        <v>2023</v>
      </c>
      <c r="N28" s="4">
        <f>SUMIFS('[1]corn futures'!$D$1:$D$321,'[1]corn futures'!$B$1:$B$321,Ratios!$H28,'[1]corn futures'!$A$1:$A$321,Ratios!$H$3)/100</f>
        <v>4.7125000000000004</v>
      </c>
      <c r="O28" s="4">
        <f>SUMIFS('[1]cotton futures'!$D$1:$D$265,'[1]cotton futures'!$B$1:$B$265,$H28,'[1]cotton futures'!$A$1:$A$265,Ratios!$H$3)</f>
        <v>81</v>
      </c>
      <c r="P28">
        <f>SUMIFS('[1]soy futures'!$D$1:$D$321,'[1]soy futures'!$B$1:$B$321,Ratios!$H28,'[1]soy futures'!$A$1:$A$321,Ratios!$H$3)/100</f>
        <v>12.935</v>
      </c>
      <c r="R28" s="3">
        <v>2023</v>
      </c>
      <c r="S28">
        <f t="shared" si="0"/>
        <v>1.1320693779904307</v>
      </c>
      <c r="T28">
        <f t="shared" si="1"/>
        <v>0.44520997375328086</v>
      </c>
      <c r="V28">
        <f t="shared" si="2"/>
        <v>9.2513196480938422</v>
      </c>
      <c r="W28">
        <f t="shared" si="3"/>
        <v>8.138419095597936E-2</v>
      </c>
    </row>
    <row r="29" spans="3:25" x14ac:dyDescent="0.45">
      <c r="C29" s="3">
        <v>2024</v>
      </c>
      <c r="D29" s="4">
        <f>'[1]US CORN ACREAGE'!C161</f>
        <v>90.909000000000006</v>
      </c>
      <c r="E29">
        <f>'[1]US COTTON ACREAGE'!B57</f>
        <v>11183</v>
      </c>
      <c r="F29" s="5">
        <f>'[1]US SOY ACREAGE'!B47</f>
        <v>87260</v>
      </c>
      <c r="G29" s="5"/>
      <c r="H29" s="3">
        <v>2024</v>
      </c>
      <c r="I29" s="4">
        <f>SUMIFS('[1]corn futures'!$D$1:$D$321,'[1]corn futures'!$B$1:$B$321,Ratios!$H29,'[1]corn futures'!$A$1:$A$321,Ratios!$H$3)/100</f>
        <v>4.585</v>
      </c>
      <c r="J29" s="4">
        <f>SUMIFS('[1]cotton futures'!$D$1:$D$265,'[1]cotton futures'!$B$1:$B$265,$H29,'[1]cotton futures'!$A$1:$A$265,Ratios!$H$3)</f>
        <v>68.400000000000006</v>
      </c>
      <c r="K29">
        <f>SUMIFS('[1]soy futures'!$D$1:$D$321,'[1]soy futures'!$B$1:$B$321,Ratios!$H29,'[1]soy futures'!$A$1:$A$321,Ratios!$H$3)/100</f>
        <v>9.9824999999999999</v>
      </c>
      <c r="M29" s="3">
        <v>2024</v>
      </c>
      <c r="N29" s="4">
        <f>SUMIFS('[1]corn futures'!$D$1:$D$321,'[1]corn futures'!$B$1:$B$321,Ratios!$H29,'[1]corn futures'!$A$1:$A$321,Ratios!$H$3)/100</f>
        <v>4.585</v>
      </c>
      <c r="O29" s="4">
        <f>SUMIFS('[1]cotton futures'!$D$1:$D$265,'[1]cotton futures'!$B$1:$B$265,$H29,'[1]cotton futures'!$A$1:$A$265,Ratios!$H$3)</f>
        <v>68.400000000000006</v>
      </c>
      <c r="P29">
        <f>SUMIFS('[1]soy futures'!$D$1:$D$321,'[1]soy futures'!$B$1:$B$321,Ratios!$H29,'[1]soy futures'!$A$1:$A$321,Ratios!$H$3)/100</f>
        <v>9.9824999999999999</v>
      </c>
      <c r="R29" s="3">
        <v>2024</v>
      </c>
      <c r="S29">
        <f t="shared" si="0"/>
        <v>1.0418175567270227</v>
      </c>
      <c r="T29">
        <f t="shared" si="1"/>
        <v>0.36432160804020103</v>
      </c>
      <c r="V29">
        <f t="shared" si="2"/>
        <v>8.1292139855137258</v>
      </c>
      <c r="W29">
        <f t="shared" si="3"/>
        <v>5.8179012345679015E-2</v>
      </c>
    </row>
    <row r="30" spans="3:25" x14ac:dyDescent="0.45">
      <c r="C30" s="3">
        <v>2025</v>
      </c>
      <c r="D30" s="4">
        <f>'[1]US CORN ACREAGE'!C162</f>
        <v>98.787999999999997</v>
      </c>
      <c r="E30">
        <f>'[1]US COTTON ACREAGE'!B58</f>
        <v>9296</v>
      </c>
      <c r="F30" s="5">
        <f>'[1]US SOY ACREAGE'!B48</f>
        <v>81215</v>
      </c>
      <c r="G30" s="5"/>
      <c r="H30" s="3">
        <v>2025</v>
      </c>
      <c r="I30" s="4">
        <f>SUMIFS('[1]corn futures'!$D$1:$D$321,'[1]corn futures'!$B$1:$B$321,Ratios!$H30,'[1]corn futures'!$A$1:$A$321,Ratios!$H$3)/100</f>
        <v>4.4824999999999999</v>
      </c>
      <c r="J30" s="4">
        <f>SUMIFS('[1]cotton futures'!$D$1:$D$265,'[1]cotton futures'!$B$1:$B$265,$H30,'[1]cotton futures'!$A$1:$A$265,Ratios!$H$3)</f>
        <v>65.599999999999994</v>
      </c>
      <c r="K30">
        <f>SUMIFS('[1]soy futures'!$D$1:$D$321,'[1]soy futures'!$B$1:$B$321,Ratios!$H30,'[1]soy futures'!$A$1:$A$321,Ratios!$H$3)/100</f>
        <v>10.475</v>
      </c>
      <c r="M30" s="3">
        <v>2025</v>
      </c>
      <c r="N30" s="4">
        <f>SUMIFS('[1]corn futures'!$D$1:$D$321,'[1]corn futures'!$B$1:$B$321,Ratios!$H30,'[1]corn futures'!$A$1:$A$321,Ratios!$H$3)/100</f>
        <v>4.4824999999999999</v>
      </c>
      <c r="O30" s="4">
        <f>SUMIFS('[1]cotton futures'!$D$1:$D$265,'[1]cotton futures'!$B$1:$B$265,$H30,'[1]cotton futures'!$A$1:$A$265,Ratios!$H$3)</f>
        <v>65.599999999999994</v>
      </c>
      <c r="P30">
        <f>SUMIFS('[1]soy futures'!$D$1:$D$321,'[1]soy futures'!$B$1:$B$321,Ratios!$H30,'[1]soy futures'!$A$1:$A$321,Ratios!$H$3)/100</f>
        <v>10.475</v>
      </c>
      <c r="R30" s="3">
        <v>2025</v>
      </c>
      <c r="S30">
        <f t="shared" si="0"/>
        <v>1.2163762851689959</v>
      </c>
      <c r="T30">
        <f t="shared" si="1"/>
        <v>0.4593037816178312</v>
      </c>
      <c r="V30">
        <f t="shared" si="2"/>
        <v>10.626936316695353</v>
      </c>
      <c r="W30">
        <f t="shared" si="3"/>
        <v>6.7032163742690054E-2</v>
      </c>
      <c r="Y30" s="4"/>
    </row>
    <row r="31" spans="3:25" x14ac:dyDescent="0.45">
      <c r="C31" s="3">
        <v>2026</v>
      </c>
      <c r="D31" s="4">
        <f>'[1]US CORN ACREAGE'!C163</f>
        <v>96.777000000000001</v>
      </c>
      <c r="E31">
        <v>10450</v>
      </c>
      <c r="F31" s="5">
        <v>86900</v>
      </c>
      <c r="G31" s="5"/>
      <c r="H31" s="3">
        <v>2026</v>
      </c>
      <c r="I31" s="5">
        <f>'[1]corn futures'!D1/100</f>
        <v>5.2910000000000004</v>
      </c>
      <c r="J31" s="5">
        <f>'[1]cotton futures'!D1</f>
        <v>83.27</v>
      </c>
      <c r="K31">
        <f>'[1]soy futures'!D1/100</f>
        <v>13.251300000000001</v>
      </c>
      <c r="M31" s="3">
        <v>2026</v>
      </c>
      <c r="N31" s="5">
        <f>I31</f>
        <v>5.2910000000000004</v>
      </c>
      <c r="O31" s="5">
        <f t="shared" ref="O31:P31" si="4">J31</f>
        <v>83.27</v>
      </c>
      <c r="P31" s="5">
        <f t="shared" si="4"/>
        <v>13.251300000000001</v>
      </c>
      <c r="R31" s="3">
        <v>2026</v>
      </c>
      <c r="S31">
        <f t="shared" si="0"/>
        <v>1.1136593785960875</v>
      </c>
      <c r="T31">
        <f t="shared" si="1"/>
        <v>0.42792362768496423</v>
      </c>
      <c r="V31">
        <f t="shared" si="2"/>
        <v>9.2609569377990439</v>
      </c>
      <c r="W31">
        <f t="shared" si="3"/>
        <v>6.8330792682926828E-2</v>
      </c>
      <c r="Y31" s="4"/>
    </row>
    <row r="32" spans="3:25" x14ac:dyDescent="0.45">
      <c r="D32" s="4"/>
      <c r="F32" s="5"/>
      <c r="G32" s="5"/>
      <c r="H32" s="5"/>
      <c r="I32" s="5"/>
      <c r="J32" s="5"/>
      <c r="R32" s="3">
        <v>2027</v>
      </c>
      <c r="S32" cm="1">
        <f t="array" ref="S32">TREND(S15:S31,T15:T31,T32)</f>
        <v>1.0954402725949062</v>
      </c>
      <c r="T32">
        <f t="shared" si="1"/>
        <v>0.39928157992046065</v>
      </c>
      <c r="V32" cm="1">
        <f t="array" ref="V32">TREND(V15:V31,W15:W31,W32)</f>
        <v>8.3639212068251716</v>
      </c>
      <c r="W32">
        <f t="shared" si="3"/>
        <v>6.3540290620871867E-2</v>
      </c>
    </row>
    <row r="36" spans="18:22" x14ac:dyDescent="0.45">
      <c r="R36" t="s">
        <v>70</v>
      </c>
      <c r="S36">
        <f>D31*1000+F31</f>
        <v>183677</v>
      </c>
      <c r="U36" t="s">
        <v>71</v>
      </c>
      <c r="V36">
        <f>D31*1000+E31</f>
        <v>107227</v>
      </c>
    </row>
    <row r="37" spans="18:22" x14ac:dyDescent="0.45">
      <c r="R37" t="s">
        <v>72</v>
      </c>
      <c r="S37">
        <f>S36/(1+S32)</f>
        <v>87655.564514154365</v>
      </c>
      <c r="U37" t="s">
        <v>73</v>
      </c>
      <c r="V37">
        <f>V36/(1+V32)</f>
        <v>11451.078840971497</v>
      </c>
    </row>
    <row r="38" spans="18:22" x14ac:dyDescent="0.45">
      <c r="V38">
        <f>E31</f>
        <v>10450</v>
      </c>
    </row>
    <row r="39" spans="18:22" x14ac:dyDescent="0.45">
      <c r="V39">
        <f>V37-V38</f>
        <v>1001.0788409714969</v>
      </c>
    </row>
    <row r="40" spans="18:22" x14ac:dyDescent="0.45">
      <c r="V40">
        <f>V39/V38</f>
        <v>9.5797018274784387E-2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diagram</vt:lpstr>
      <vt:lpstr>Sheet1</vt:lpstr>
      <vt:lpstr>Ratios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Owen Wagner</dc:creator>
  <cp:lastModifiedBy>Owen Wagner</cp:lastModifiedBy>
  <dcterms:created xsi:type="dcterms:W3CDTF">2015-06-05T18:17:20Z</dcterms:created>
  <dcterms:modified xsi:type="dcterms:W3CDTF">2026-09-25T16:31:33Z</dcterms:modified>
</cp:coreProperties>
</file>